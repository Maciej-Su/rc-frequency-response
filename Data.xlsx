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<sst xmlns="http://schemas.openxmlformats.org/spreadsheetml/2006/main" count="30" uniqueCount="18">
  <si>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Experiment 1</t>
  </si>
  <si>
    <t>R1[Ω]</t>
  </si>
  <si>
    <t>C1 [nF]</t>
  </si>
  <si>
    <t>f1[HZ]</t>
  </si>
  <si>
    <t>w/rad</t>
  </si>
  <si>
    <t>f[HZ]</t>
  </si>
  <si>
    <r>
      <rPr>
        <sz val="11"/>
        <color theme="1"/>
        <rFont val="宋体"/>
        <charset val="134"/>
        <scheme val="minor"/>
      </rPr>
      <t>|V</t>
    </r>
    <r>
      <rPr>
        <vertAlign val="subscript"/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 [V]</t>
    </r>
  </si>
  <si>
    <r>
      <rPr>
        <sz val="11"/>
        <color theme="1"/>
        <rFont val="宋体"/>
        <charset val="134"/>
        <scheme val="minor"/>
      </rPr>
      <t>|V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|[V]</t>
    </r>
  </si>
  <si>
    <r>
      <rPr>
        <sz val="11"/>
        <color theme="1"/>
        <rFont val="宋体"/>
        <charset val="134"/>
        <scheme val="minor"/>
      </rPr>
      <t>|V</t>
    </r>
    <r>
      <rPr>
        <vertAlign val="subscript"/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|[V]</t>
    </r>
  </si>
  <si>
    <t>w</t>
  </si>
  <si>
    <t>wRC</t>
  </si>
  <si>
    <t>COSφ</t>
  </si>
  <si>
    <t>sinφ</t>
  </si>
  <si>
    <t>第二组</t>
  </si>
  <si>
    <t>R2[Ω]</t>
  </si>
  <si>
    <t>C2[nF]</t>
  </si>
  <si>
    <t>f2[HZ]</t>
  </si>
  <si>
    <t>Experiment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</si>
</sst>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  <numFmt numFmtId="178" formatCode="0.00_ "/>
    <numFmt numFmtId="179" formatCode="0.00000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/>
    </xf>
    <xf numFmtId="0" fontId="1" fillId="0" borderId="0" xfId="0" applyFont="1" applyFill="1" applyAlignment="1">
      <alignment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Bode Magnitude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Sheet3!$F$3:$F$16</c:f>
              <c:numCache>
                <c:formatCode>0.0000_ </c:formatCode>
                <c:ptCount val="14"/>
                <c:pt idx="0">
                  <c:v>-0.0294631420704186</c:v>
                </c:pt>
                <c:pt idx="1">
                  <c:v>-0.304449015958418</c:v>
                </c:pt>
                <c:pt idx="2">
                  <c:v>-0.887816109117391</c:v>
                </c:pt>
                <c:pt idx="3">
                  <c:v>-1.96737169621843</c:v>
                </c:pt>
                <c:pt idx="4">
                  <c:v>-2.91878184670528</c:v>
                </c:pt>
                <c:pt idx="5">
                  <c:v>-3.49677662254516</c:v>
                </c:pt>
                <c:pt idx="6">
                  <c:v>-4.13259197743587</c:v>
                </c:pt>
                <c:pt idx="7">
                  <c:v>-4.75043973773102</c:v>
                </c:pt>
                <c:pt idx="8">
                  <c:v>-5.92620944425315</c:v>
                </c:pt>
                <c:pt idx="9">
                  <c:v>-10.3594188952828</c:v>
                </c:pt>
                <c:pt idx="10">
                  <c:v>-13.3446897409403</c:v>
                </c:pt>
                <c:pt idx="11">
                  <c:v>-15.8239941116839</c:v>
                </c:pt>
                <c:pt idx="12">
                  <c:v>-17.8372090924402</c:v>
                </c:pt>
                <c:pt idx="13">
                  <c:v>-19.559080116014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 / (rad/s)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L(w)/dB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  <c:majorUnit val="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404812767026891"/>
          <c:y val="0.85351653469958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c009dd-3d1e-4930-89be-233d5edc4d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Phase</a:t>
            </a:r>
          </a:p>
        </c:rich>
      </c:tx>
      <c:layout>
        <c:manualLayout>
          <c:xMode val="edge"/>
          <c:yMode val="edge"/>
          <c:x val="0.426182707993475"/>
          <c:y val="0.02324680356450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637030995106"/>
          <c:y val="0.108678806664084"/>
          <c:w val="0.803925367047308"/>
          <c:h val="0.6653235180162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Sheet3!$G$3:$G$16</c:f>
              <c:numCache>
                <c:formatCode>0.0000_ </c:formatCode>
                <c:ptCount val="14"/>
                <c:pt idx="0">
                  <c:v>-4.19658795853899</c:v>
                </c:pt>
                <c:pt idx="1">
                  <c:v>-14.7028299303158</c:v>
                </c:pt>
                <c:pt idx="2">
                  <c:v>-25.0983646277415</c:v>
                </c:pt>
                <c:pt idx="3">
                  <c:v>-36.7418693398737</c:v>
                </c:pt>
                <c:pt idx="4">
                  <c:v>-43.9741743995356</c:v>
                </c:pt>
                <c:pt idx="5">
                  <c:v>-47.607627559598</c:v>
                </c:pt>
                <c:pt idx="6">
                  <c:v>-51.1059961363978</c:v>
                </c:pt>
                <c:pt idx="7">
                  <c:v>-54.1296892393385</c:v>
                </c:pt>
                <c:pt idx="8">
                  <c:v>-61.7764535095843</c:v>
                </c:pt>
                <c:pt idx="9">
                  <c:v>-71.284225155093</c:v>
                </c:pt>
                <c:pt idx="10">
                  <c:v>-76.0276985063703</c:v>
                </c:pt>
                <c:pt idx="11">
                  <c:v>-78.5812895900373</c:v>
                </c:pt>
                <c:pt idx="12">
                  <c:v>-79.8668454661963</c:v>
                </c:pt>
                <c:pt idx="13">
                  <c:v>-80.5216069586816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>
            <c:manualLayout>
              <c:xMode val="edge"/>
              <c:yMode val="edge"/>
              <c:x val="0.512339034176122"/>
              <c:y val="0.84705646155471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φ(ω)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414077966866754"/>
          <c:y val="0.90694586312563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a57b6a-afed-4dfb-ba00-dbd436092f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Phase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Sheet3!$G$50:$G$62</c:f>
              <c:numCache>
                <c:formatCode>0.0000_ </c:formatCode>
                <c:ptCount val="13"/>
                <c:pt idx="0">
                  <c:v>-5.21149469170373</c:v>
                </c:pt>
                <c:pt idx="1">
                  <c:v>-13.1473818485559</c:v>
                </c:pt>
                <c:pt idx="2">
                  <c:v>-16.9133378557244</c:v>
                </c:pt>
                <c:pt idx="3">
                  <c:v>-26.4191855916124</c:v>
                </c:pt>
                <c:pt idx="4">
                  <c:v>-37.2717321502353</c:v>
                </c:pt>
                <c:pt idx="5">
                  <c:v>-42.2374273641519</c:v>
                </c:pt>
                <c:pt idx="6">
                  <c:v>-43.8803826589567</c:v>
                </c:pt>
                <c:pt idx="7">
                  <c:v>-48.9853681971049</c:v>
                </c:pt>
                <c:pt idx="8">
                  <c:v>-57.1691162679203</c:v>
                </c:pt>
                <c:pt idx="9">
                  <c:v>-61.1468254682944</c:v>
                </c:pt>
                <c:pt idx="10">
                  <c:v>-76.8586296422135</c:v>
                </c:pt>
                <c:pt idx="11">
                  <c:v>-77.5131515102762</c:v>
                </c:pt>
                <c:pt idx="12">
                  <c:v>-79.0235960708155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φ(ω)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392012019531739"/>
          <c:y val="0.8508652094717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a57b6a-afed-4dfb-ba00-dbd436092f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</a:t>
            </a:r>
            <a:r>
              <a:rPr lang="en-US" altLang="zh-CN"/>
              <a:t>Magnitude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Sheet3!$F$50:$F$62</c:f>
              <c:numCache>
                <c:formatCode>0.0000_ </c:formatCode>
                <c:ptCount val="13"/>
                <c:pt idx="0">
                  <c:v>0.190336681858019</c:v>
                </c:pt>
                <c:pt idx="1">
                  <c:v>-0.0114957905732094</c:v>
                </c:pt>
                <c:pt idx="2">
                  <c:v>-0.282696885253234</c:v>
                </c:pt>
                <c:pt idx="3">
                  <c:v>-0.725681544052354</c:v>
                </c:pt>
                <c:pt idx="4">
                  <c:v>-1.73216855012747</c:v>
                </c:pt>
                <c:pt idx="5">
                  <c:v>-2.33965511139871</c:v>
                </c:pt>
                <c:pt idx="6">
                  <c:v>-2.56419331062088</c:v>
                </c:pt>
                <c:pt idx="7">
                  <c:v>-3.52140330046958</c:v>
                </c:pt>
                <c:pt idx="8">
                  <c:v>-5.34056968062897</c:v>
                </c:pt>
                <c:pt idx="9">
                  <c:v>-9.33158027687547</c:v>
                </c:pt>
                <c:pt idx="10">
                  <c:v>-12.2471221011447</c:v>
                </c:pt>
                <c:pt idx="11">
                  <c:v>-14.7117675570304</c:v>
                </c:pt>
                <c:pt idx="12">
                  <c:v>-16.6926521267218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w / (rad/s)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L(w)/dB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  <c:majorUnit val="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400293933708568"/>
          <c:y val="0.8388354571164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eb1fb-409c-4263-88e0-a7d39d6be1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Magnitude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Sheet3!$F$3:$F$16</c:f>
              <c:numCache>
                <c:formatCode>0.0000_ </c:formatCode>
                <c:ptCount val="14"/>
                <c:pt idx="0">
                  <c:v>-0.0294631420704186</c:v>
                </c:pt>
                <c:pt idx="1">
                  <c:v>-0.304449015958418</c:v>
                </c:pt>
                <c:pt idx="2">
                  <c:v>-0.887816109117391</c:v>
                </c:pt>
                <c:pt idx="3">
                  <c:v>-1.96737169621843</c:v>
                </c:pt>
                <c:pt idx="4">
                  <c:v>-2.91878184670528</c:v>
                </c:pt>
                <c:pt idx="5">
                  <c:v>-3.49677662254516</c:v>
                </c:pt>
                <c:pt idx="6">
                  <c:v>-4.13259197743587</c:v>
                </c:pt>
                <c:pt idx="7">
                  <c:v>-4.75043973773102</c:v>
                </c:pt>
                <c:pt idx="8">
                  <c:v>-5.92620944425315</c:v>
                </c:pt>
                <c:pt idx="9">
                  <c:v>-10.3594188952828</c:v>
                </c:pt>
                <c:pt idx="10">
                  <c:v>-13.3446897409403</c:v>
                </c:pt>
                <c:pt idx="11">
                  <c:v>-15.8239941116839</c:v>
                </c:pt>
                <c:pt idx="12">
                  <c:v>-17.8372090924402</c:v>
                </c:pt>
                <c:pt idx="13">
                  <c:v>-19.559080116014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"Theoretical Value"</c:f>
              <c:strCache>
                <c:ptCount val="1"/>
                <c:pt idx="0">
                  <c:v>Theoretical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Sheet3!$L$3:$L$16</c:f>
              <c:numCache>
                <c:formatCode>0.0000_ </c:formatCode>
                <c:ptCount val="14"/>
                <c:pt idx="0">
                  <c:v>-0.0245579239399176</c:v>
                </c:pt>
                <c:pt idx="1">
                  <c:v>-0.307988635367773</c:v>
                </c:pt>
                <c:pt idx="2">
                  <c:v>-0.907063734685431</c:v>
                </c:pt>
                <c:pt idx="3">
                  <c:v>-2.01391241211253</c:v>
                </c:pt>
                <c:pt idx="4">
                  <c:v>-2.98429665228871</c:v>
                </c:pt>
                <c:pt idx="5">
                  <c:v>-3.57154125578548</c:v>
                </c:pt>
                <c:pt idx="6">
                  <c:v>-4.21411258009656</c:v>
                </c:pt>
                <c:pt idx="7">
                  <c:v>-4.83889365612368</c:v>
                </c:pt>
                <c:pt idx="8">
                  <c:v>-6.02037664597592</c:v>
                </c:pt>
                <c:pt idx="9">
                  <c:v>-10.4151486346879</c:v>
                </c:pt>
                <c:pt idx="10">
                  <c:v>-13.3070752563179</c:v>
                </c:pt>
                <c:pt idx="11">
                  <c:v>-15.7162042978422</c:v>
                </c:pt>
                <c:pt idx="12">
                  <c:v>-17.6122765348245</c:v>
                </c:pt>
                <c:pt idx="13">
                  <c:v>-19.1728446483375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L(w)/dB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  <c:majorUnit val="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295159386068477"/>
          <c:y val="0.84895955108721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c009dd-3d1e-4930-89be-233d5edc4d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Phase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Sheet3!$G$3:$G$16</c:f>
              <c:numCache>
                <c:formatCode>0.0000_ </c:formatCode>
                <c:ptCount val="14"/>
                <c:pt idx="0">
                  <c:v>-4.19658795853899</c:v>
                </c:pt>
                <c:pt idx="1">
                  <c:v>-14.7028299303158</c:v>
                </c:pt>
                <c:pt idx="2">
                  <c:v>-25.0983646277415</c:v>
                </c:pt>
                <c:pt idx="3">
                  <c:v>-36.7418693398737</c:v>
                </c:pt>
                <c:pt idx="4">
                  <c:v>-43.9741743995356</c:v>
                </c:pt>
                <c:pt idx="5">
                  <c:v>-47.607627559598</c:v>
                </c:pt>
                <c:pt idx="6">
                  <c:v>-51.1059961363978</c:v>
                </c:pt>
                <c:pt idx="7">
                  <c:v>-54.1296892393385</c:v>
                </c:pt>
                <c:pt idx="8">
                  <c:v>-61.7764535095843</c:v>
                </c:pt>
                <c:pt idx="9">
                  <c:v>-71.284225155093</c:v>
                </c:pt>
                <c:pt idx="10">
                  <c:v>-76.0276985063703</c:v>
                </c:pt>
                <c:pt idx="11">
                  <c:v>-78.5812895900373</c:v>
                </c:pt>
                <c:pt idx="12">
                  <c:v>-79.8668454661963</c:v>
                </c:pt>
                <c:pt idx="13">
                  <c:v>-80.5216069586816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"Theoretical Value"</c:f>
              <c:strCache>
                <c:ptCount val="1"/>
                <c:pt idx="0">
                  <c:v>Theoretical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Sheet3!$J$3:$J$16</c:f>
              <c:numCache>
                <c:formatCode>0.00_ </c:formatCode>
                <c:ptCount val="14"/>
                <c:pt idx="0">
                  <c:v>314.159265358979</c:v>
                </c:pt>
                <c:pt idx="1">
                  <c:v>1130.97335529233</c:v>
                </c:pt>
                <c:pt idx="2">
                  <c:v>2010.61929829747</c:v>
                </c:pt>
                <c:pt idx="3">
                  <c:v>3204.42450666159</c:v>
                </c:pt>
                <c:pt idx="4">
                  <c:v>4146.90230273853</c:v>
                </c:pt>
                <c:pt idx="5">
                  <c:v>4712.38898038469</c:v>
                </c:pt>
                <c:pt idx="6">
                  <c:v>5340.70751110265</c:v>
                </c:pt>
                <c:pt idx="7">
                  <c:v>5969.02604182061</c:v>
                </c:pt>
                <c:pt idx="8">
                  <c:v>7225.66310325652</c:v>
                </c:pt>
                <c:pt idx="9">
                  <c:v>13194.6891450771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  <c:pt idx="13">
                  <c:v>37699.1118430775</c:v>
                </c:pt>
              </c:numCache>
            </c:numRef>
          </c:xVal>
          <c:yVal>
            <c:numRef>
              <c:f>Sheet3!$M$3:$M$16</c:f>
              <c:numCache>
                <c:formatCode>0.00000_ </c:formatCode>
                <c:ptCount val="14"/>
                <c:pt idx="0">
                  <c:v>-4.30647205215307</c:v>
                </c:pt>
                <c:pt idx="1">
                  <c:v>-15.1679983190522</c:v>
                </c:pt>
                <c:pt idx="2">
                  <c:v>-25.7315302131478</c:v>
                </c:pt>
                <c:pt idx="3">
                  <c:v>-37.527886320033</c:v>
                </c:pt>
                <c:pt idx="4">
                  <c:v>-44.8279556998137</c:v>
                </c:pt>
                <c:pt idx="5">
                  <c:v>-48.4815095099333</c:v>
                </c:pt>
                <c:pt idx="6">
                  <c:v>-52.0049066730935</c:v>
                </c:pt>
                <c:pt idx="7">
                  <c:v>-55.0494672644407</c:v>
                </c:pt>
                <c:pt idx="8">
                  <c:v>-59.9991496841626</c:v>
                </c:pt>
                <c:pt idx="9">
                  <c:v>-72.454147793521</c:v>
                </c:pt>
                <c:pt idx="10">
                  <c:v>-77.5201791807895</c:v>
                </c:pt>
                <c:pt idx="11">
                  <c:v>-80.5751872454015</c:v>
                </c:pt>
                <c:pt idx="12">
                  <c:v>-82.4356578603493</c:v>
                </c:pt>
                <c:pt idx="13">
                  <c:v>-83.6851942319172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φ(ω)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275982872713118"/>
          <c:y val="0.870742542839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a57b6a-afed-4dfb-ba00-dbd436092f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Magnitude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Sheet3!$F$50:$F$62</c:f>
              <c:numCache>
                <c:formatCode>0.0000_ </c:formatCode>
                <c:ptCount val="13"/>
                <c:pt idx="0">
                  <c:v>0.190336681858019</c:v>
                </c:pt>
                <c:pt idx="1">
                  <c:v>-0.0114957905732094</c:v>
                </c:pt>
                <c:pt idx="2">
                  <c:v>-0.282696885253234</c:v>
                </c:pt>
                <c:pt idx="3">
                  <c:v>-0.725681544052354</c:v>
                </c:pt>
                <c:pt idx="4">
                  <c:v>-1.73216855012747</c:v>
                </c:pt>
                <c:pt idx="5">
                  <c:v>-2.33965511139871</c:v>
                </c:pt>
                <c:pt idx="6">
                  <c:v>-2.56419331062088</c:v>
                </c:pt>
                <c:pt idx="7">
                  <c:v>-3.52140330046958</c:v>
                </c:pt>
                <c:pt idx="8">
                  <c:v>-5.34056968062897</c:v>
                </c:pt>
                <c:pt idx="9">
                  <c:v>-9.33158027687547</c:v>
                </c:pt>
                <c:pt idx="10">
                  <c:v>-12.2471221011447</c:v>
                </c:pt>
                <c:pt idx="11">
                  <c:v>-14.7117675570304</c:v>
                </c:pt>
                <c:pt idx="12">
                  <c:v>-16.6926521267218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"Theoretical Value"</c:f>
              <c:strCache>
                <c:ptCount val="1"/>
                <c:pt idx="0">
                  <c:v>Theoretical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Sheet3!$L$50:$L$62</c:f>
              <c:numCache>
                <c:formatCode>0.0000_ </c:formatCode>
                <c:ptCount val="13"/>
                <c:pt idx="0">
                  <c:v>-0.0404725242486682</c:v>
                </c:pt>
                <c:pt idx="1">
                  <c:v>-0.260870870249664</c:v>
                </c:pt>
                <c:pt idx="2">
                  <c:v>-0.566358367166108</c:v>
                </c:pt>
                <c:pt idx="3">
                  <c:v>-1.058210901292</c:v>
                </c:pt>
                <c:pt idx="4">
                  <c:v>-2.15578910057</c:v>
                </c:pt>
                <c:pt idx="5">
                  <c:v>-2.80967570441876</c:v>
                </c:pt>
                <c:pt idx="6">
                  <c:v>-3.0497314480376</c:v>
                </c:pt>
                <c:pt idx="7">
                  <c:v>-4.06150312844007</c:v>
                </c:pt>
                <c:pt idx="8">
                  <c:v>-5.74203537674647</c:v>
                </c:pt>
                <c:pt idx="9">
                  <c:v>-9.36665600780197</c:v>
                </c:pt>
                <c:pt idx="10">
                  <c:v>-12.599949909774</c:v>
                </c:pt>
                <c:pt idx="11">
                  <c:v>-14.9930328527516</c:v>
                </c:pt>
                <c:pt idx="12">
                  <c:v>-16.8814282914008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>
            <c:manualLayout>
              <c:xMode val="edge"/>
              <c:yMode val="edge"/>
              <c:x val="0.527382671480144"/>
              <c:y val="0.7673918240497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L(w)/dB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  <c:majorUnit val="2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302587244283995"/>
          <c:y val="0.84556538369591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eb1fb-409c-4263-88e0-a7d39d6be1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Bode Phase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"Experimental Value"</c:f>
              <c:strCache>
                <c:ptCount val="1"/>
                <c:pt idx="0">
                  <c:v>Experimental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Sheet3!$G$50:$G$62</c:f>
              <c:numCache>
                <c:formatCode>0.0000_ </c:formatCode>
                <c:ptCount val="13"/>
                <c:pt idx="0">
                  <c:v>-5.21149469170373</c:v>
                </c:pt>
                <c:pt idx="1">
                  <c:v>-13.1473818485559</c:v>
                </c:pt>
                <c:pt idx="2">
                  <c:v>-16.9133378557244</c:v>
                </c:pt>
                <c:pt idx="3">
                  <c:v>-26.4191855916124</c:v>
                </c:pt>
                <c:pt idx="4">
                  <c:v>-37.2717321502353</c:v>
                </c:pt>
                <c:pt idx="5">
                  <c:v>-42.2374273641519</c:v>
                </c:pt>
                <c:pt idx="6">
                  <c:v>-43.8803826589567</c:v>
                </c:pt>
                <c:pt idx="7">
                  <c:v>-48.9853681971049</c:v>
                </c:pt>
                <c:pt idx="8">
                  <c:v>-57.1691162679203</c:v>
                </c:pt>
                <c:pt idx="9">
                  <c:v>-61.1468254682944</c:v>
                </c:pt>
                <c:pt idx="10">
                  <c:v>-76.8586296422135</c:v>
                </c:pt>
                <c:pt idx="11">
                  <c:v>-77.5131515102762</c:v>
                </c:pt>
                <c:pt idx="12">
                  <c:v>-79.0235960708155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"Theoretical Value"</c:f>
              <c:strCache>
                <c:ptCount val="1"/>
                <c:pt idx="0">
                  <c:v>Theoretical Value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Sheet3!$J$50:$J$62</c:f>
              <c:numCache>
                <c:formatCode>0.00_ </c:formatCode>
                <c:ptCount val="13"/>
                <c:pt idx="0">
                  <c:v>439.822971502571</c:v>
                </c:pt>
                <c:pt idx="1">
                  <c:v>1130.97335529233</c:v>
                </c:pt>
                <c:pt idx="2">
                  <c:v>1696.46003293849</c:v>
                </c:pt>
                <c:pt idx="3">
                  <c:v>2387.61041672824</c:v>
                </c:pt>
                <c:pt idx="4">
                  <c:v>3644.24747816416</c:v>
                </c:pt>
                <c:pt idx="5">
                  <c:v>4335.39786195391</c:v>
                </c:pt>
                <c:pt idx="6">
                  <c:v>4586.7252742411</c:v>
                </c:pt>
                <c:pt idx="7">
                  <c:v>5654.86677646163</c:v>
                </c:pt>
                <c:pt idx="8">
                  <c:v>7539.8223686155</c:v>
                </c:pt>
                <c:pt idx="9">
                  <c:v>12566.3706143592</c:v>
                </c:pt>
                <c:pt idx="10">
                  <c:v>18849.5559215388</c:v>
                </c:pt>
                <c:pt idx="11">
                  <c:v>25132.7412287183</c:v>
                </c:pt>
                <c:pt idx="12">
                  <c:v>31415.9265358979</c:v>
                </c:pt>
              </c:numCache>
            </c:numRef>
          </c:xVal>
          <c:yVal>
            <c:numRef>
              <c:f>Sheet3!$M$50:$M$62</c:f>
              <c:numCache>
                <c:formatCode>0.00000_ </c:formatCode>
                <c:ptCount val="13"/>
                <c:pt idx="0">
                  <c:v>-5.52679427987465</c:v>
                </c:pt>
                <c:pt idx="1">
                  <c:v>-13.9722775255881</c:v>
                </c:pt>
                <c:pt idx="2">
                  <c:v>-20.4666408389701</c:v>
                </c:pt>
                <c:pt idx="3">
                  <c:v>-27.7117914608448</c:v>
                </c:pt>
                <c:pt idx="4">
                  <c:v>-38.7203523664013</c:v>
                </c:pt>
                <c:pt idx="5">
                  <c:v>-43.6450492343172</c:v>
                </c:pt>
                <c:pt idx="6">
                  <c:v>-45.2589329738928</c:v>
                </c:pt>
                <c:pt idx="7">
                  <c:v>-51.2072320462048</c:v>
                </c:pt>
                <c:pt idx="8">
                  <c:v>-58.9159212545302</c:v>
                </c:pt>
                <c:pt idx="9">
                  <c:v>-70.1141431773284</c:v>
                </c:pt>
                <c:pt idx="10">
                  <c:v>-76.4423142551625</c:v>
                </c:pt>
                <c:pt idx="11">
                  <c:v>-79.748422532667</c:v>
                </c:pt>
                <c:pt idx="12">
                  <c:v>-81.7672164578298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94837"/>
        <c:axId val="722182374"/>
      </c:scatterChart>
      <c:valAx>
        <c:axId val="1499483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w / (rad/s)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2182374"/>
        <c:crosses val="autoZero"/>
        <c:crossBetween val="midCat"/>
      </c:valAx>
      <c:valAx>
        <c:axId val="7221823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φ(ω)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9483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31464899713467"/>
          <c:y val="0.83369963369963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a57b6a-afed-4dfb-ba00-dbd436092f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125730</xdr:colOff>
      <xdr:row>1</xdr:row>
      <xdr:rowOff>19050</xdr:rowOff>
    </xdr:from>
    <xdr:ext cx="48135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2675890" y="196850"/>
              <a:ext cx="48133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𝑇</m:t>
                        </m:r>
                        <m:d>
                          <m:dPr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</m:d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2675890" y="196850"/>
              <a:ext cx="48133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186690</xdr:colOff>
      <xdr:row>1</xdr:row>
      <xdr:rowOff>34290</xdr:rowOff>
    </xdr:from>
    <xdr:ext cx="33227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3" name="文本框 2"/>
            <xdr:cNvSpPr txBox="1"/>
          </xdr:nvSpPr>
          <xdr:spPr>
            <a:xfrm>
              <a:off x="3590925" y="21209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" name="文本框 2"/>
            <xdr:cNvSpPr txBox="1"/>
          </xdr:nvSpPr>
          <xdr:spPr>
            <a:xfrm>
              <a:off x="3590925" y="21209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9526</xdr:colOff>
      <xdr:row>1</xdr:row>
      <xdr:rowOff>57150</xdr:rowOff>
    </xdr:from>
    <xdr:ext cx="530082" cy="181752"/>
    <mc:AlternateContent xmlns:mc="http://schemas.openxmlformats.org/markup-compatibility/2006">
      <mc:Choice xmlns:a14="http://schemas.microsoft.com/office/drawing/2010/main" Requires="a14">
        <xdr:sp>
          <xdr:nvSpPr>
            <xdr:cNvPr id="4" name="文本框 3"/>
            <xdr:cNvSpPr txBox="1"/>
          </xdr:nvSpPr>
          <xdr:spPr>
            <a:xfrm>
              <a:off x="4370705" y="23495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" name="文本框 3"/>
            <xdr:cNvSpPr txBox="1"/>
          </xdr:nvSpPr>
          <xdr:spPr>
            <a:xfrm>
              <a:off x="4370705" y="23495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𝜑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7</xdr:col>
      <xdr:colOff>148590</xdr:colOff>
      <xdr:row>1</xdr:row>
      <xdr:rowOff>41910</xdr:rowOff>
    </xdr:from>
    <xdr:ext cx="689609" cy="181752"/>
    <mc:AlternateContent xmlns:mc="http://schemas.openxmlformats.org/markup-compatibility/2006">
      <mc:Choice xmlns:a14="http://schemas.microsoft.com/office/drawing/2010/main" Requires="a14">
        <xdr:sp>
          <xdr:nvSpPr>
            <xdr:cNvPr id="5" name="文本框 4"/>
            <xdr:cNvSpPr txBox="1"/>
          </xdr:nvSpPr>
          <xdr:spPr>
            <a:xfrm>
              <a:off x="5300980" y="219710"/>
              <a:ext cx="68897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zh-CN" altLang="en-US" sz="1100" i="1">
                            <a:latin typeface="Cambria Math" panose="02040503050406030204" pitchFamily="18" charset="0"/>
                          </a:rPr>
                          <m:t>Re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  <m: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  <m:t>𝜔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5" name="文本框 4"/>
            <xdr:cNvSpPr txBox="1"/>
          </xdr:nvSpPr>
          <xdr:spPr>
            <a:xfrm>
              <a:off x="5300980" y="219710"/>
              <a:ext cx="68897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Re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8</xdr:col>
      <xdr:colOff>30481</xdr:colOff>
      <xdr:row>1</xdr:row>
      <xdr:rowOff>38101</xdr:rowOff>
    </xdr:from>
    <xdr:ext cx="67818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6" name="文本框 5"/>
            <xdr:cNvSpPr txBox="1"/>
          </xdr:nvSpPr>
          <xdr:spPr>
            <a:xfrm>
              <a:off x="6061710" y="21590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 b="0" i="0">
                            <a:latin typeface="Cambria Math" panose="02040503050406030204" pitchFamily="18" charset="0"/>
                          </a:rPr>
                          <m:t>Im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zh-CN" altLang="en-US" sz="1100" i="0"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zh-CN" altLang="en-US" sz="1100" i="0">
                                        <a:latin typeface="Cambria Math" panose="02040503050406030204" pitchFamily="18" charset="0"/>
                                      </a:rPr>
                                      <m:t>jω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 i="0"/>
            </a:p>
          </xdr:txBody>
        </xdr:sp>
      </mc:Choice>
      <mc:Fallback>
        <xdr:sp>
          <xdr:nvSpPr>
            <xdr:cNvPr id="6" name="文本框 5"/>
            <xdr:cNvSpPr txBox="1"/>
          </xdr:nvSpPr>
          <xdr:spPr>
            <a:xfrm>
              <a:off x="6061710" y="21590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b="0">
                  <a:latin typeface="Cambria Math" panose="02040503050406030204" pitchFamily="18" charset="0"/>
                </a:rPr>
                <a:t>Im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T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jω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 i="0"/>
            </a:p>
          </xdr:txBody>
        </xdr:sp>
      </mc:Fallback>
    </mc:AlternateContent>
    <xdr:clientData/>
  </xdr:oneCellAnchor>
  <xdr:oneCellAnchor>
    <xdr:from>
      <xdr:col>4</xdr:col>
      <xdr:colOff>124460</xdr:colOff>
      <xdr:row>20</xdr:row>
      <xdr:rowOff>17780</xdr:rowOff>
    </xdr:from>
    <xdr:ext cx="127000" cy="182245"/>
    <xdr:sp>
      <xdr:nvSpPr>
        <xdr:cNvPr id="7" name="文本框 6"/>
        <xdr:cNvSpPr txBox="1"/>
      </xdr:nvSpPr>
      <xdr:spPr>
        <a:xfrm>
          <a:off x="2674620" y="3605530"/>
          <a:ext cx="12700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186055</xdr:colOff>
      <xdr:row>20</xdr:row>
      <xdr:rowOff>33655</xdr:rowOff>
    </xdr:from>
    <xdr:ext cx="127000" cy="182245"/>
    <xdr:sp>
      <xdr:nvSpPr>
        <xdr:cNvPr id="8" name="文本框 7"/>
        <xdr:cNvSpPr txBox="1"/>
      </xdr:nvSpPr>
      <xdr:spPr>
        <a:xfrm>
          <a:off x="3590290" y="3621405"/>
          <a:ext cx="12700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9525</xdr:colOff>
      <xdr:row>20</xdr:row>
      <xdr:rowOff>56515</xdr:rowOff>
    </xdr:from>
    <xdr:ext cx="529590" cy="182245"/>
    <xdr:sp>
      <xdr:nvSpPr>
        <xdr:cNvPr id="9" name="文本框 8"/>
        <xdr:cNvSpPr txBox="1"/>
      </xdr:nvSpPr>
      <xdr:spPr>
        <a:xfrm>
          <a:off x="4370705" y="3644265"/>
          <a:ext cx="52959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30480</xdr:colOff>
      <xdr:row>20</xdr:row>
      <xdr:rowOff>37465</xdr:rowOff>
    </xdr:from>
    <xdr:ext cx="678180" cy="182245"/>
    <xdr:sp>
      <xdr:nvSpPr>
        <xdr:cNvPr id="11" name="文本框 10"/>
        <xdr:cNvSpPr txBox="1"/>
      </xdr:nvSpPr>
      <xdr:spPr>
        <a:xfrm>
          <a:off x="6061710" y="3625215"/>
          <a:ext cx="67818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oneCellAnchor>
    <xdr:from>
      <xdr:col>4</xdr:col>
      <xdr:colOff>125730</xdr:colOff>
      <xdr:row>48</xdr:row>
      <xdr:rowOff>19050</xdr:rowOff>
    </xdr:from>
    <xdr:ext cx="48135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12" name="文本框 11"/>
            <xdr:cNvSpPr txBox="1"/>
          </xdr:nvSpPr>
          <xdr:spPr>
            <a:xfrm>
              <a:off x="2675890" y="8597900"/>
              <a:ext cx="48133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𝑇</m:t>
                        </m:r>
                        <m:d>
                          <m:dPr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</m:d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2" name="文本框 11"/>
            <xdr:cNvSpPr txBox="1"/>
          </xdr:nvSpPr>
          <xdr:spPr>
            <a:xfrm>
              <a:off x="2675890" y="8597900"/>
              <a:ext cx="48133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186690</xdr:colOff>
      <xdr:row>48</xdr:row>
      <xdr:rowOff>34290</xdr:rowOff>
    </xdr:from>
    <xdr:ext cx="33227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13" name="文本框 12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3" name="文本框 12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9526</xdr:colOff>
      <xdr:row>48</xdr:row>
      <xdr:rowOff>57150</xdr:rowOff>
    </xdr:from>
    <xdr:ext cx="530082" cy="181752"/>
    <mc:AlternateContent xmlns:mc="http://schemas.openxmlformats.org/markup-compatibility/2006">
      <mc:Choice xmlns:a14="http://schemas.microsoft.com/office/drawing/2010/main" Requires="a14">
        <xdr:sp>
          <xdr:nvSpPr>
            <xdr:cNvPr id="14" name="文本框 13"/>
            <xdr:cNvSpPr txBox="1"/>
          </xdr:nvSpPr>
          <xdr:spPr>
            <a:xfrm>
              <a:off x="4370705" y="863600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14" name="文本框 13"/>
            <xdr:cNvSpPr txBox="1"/>
          </xdr:nvSpPr>
          <xdr:spPr>
            <a:xfrm>
              <a:off x="4370705" y="863600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𝜑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8</xdr:col>
      <xdr:colOff>30481</xdr:colOff>
      <xdr:row>48</xdr:row>
      <xdr:rowOff>38101</xdr:rowOff>
    </xdr:from>
    <xdr:ext cx="67818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16" name="文本框 15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 b="0" i="0">
                            <a:latin typeface="Cambria Math" panose="02040503050406030204" pitchFamily="18" charset="0"/>
                          </a:rPr>
                          <m:t>Im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zh-CN" altLang="en-US" sz="1100" i="0"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zh-CN" altLang="en-US" sz="1100" i="0">
                                        <a:latin typeface="Cambria Math" panose="02040503050406030204" pitchFamily="18" charset="0"/>
                                      </a:rPr>
                                      <m:t>jω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 i="0"/>
            </a:p>
          </xdr:txBody>
        </xdr:sp>
      </mc:Choice>
      <mc:Fallback>
        <xdr:sp>
          <xdr:nvSpPr>
            <xdr:cNvPr id="16" name="文本框 15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b="0">
                  <a:latin typeface="Cambria Math" panose="02040503050406030204" pitchFamily="18" charset="0"/>
                </a:rPr>
                <a:t>Im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T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jω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 i="0"/>
            </a:p>
          </xdr:txBody>
        </xdr:sp>
      </mc:Fallback>
    </mc:AlternateContent>
    <xdr:clientData/>
  </xdr:oneCellAnchor>
  <xdr:oneCellAnchor>
    <xdr:from>
      <xdr:col>5</xdr:col>
      <xdr:colOff>186055</xdr:colOff>
      <xdr:row>66</xdr:row>
      <xdr:rowOff>33655</xdr:rowOff>
    </xdr:from>
    <xdr:ext cx="127000" cy="182245"/>
    <xdr:sp>
      <xdr:nvSpPr>
        <xdr:cNvPr id="18" name="文本框 17"/>
        <xdr:cNvSpPr txBox="1"/>
      </xdr:nvSpPr>
      <xdr:spPr>
        <a:xfrm>
          <a:off x="3590290" y="11844655"/>
          <a:ext cx="12700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9525</xdr:colOff>
      <xdr:row>66</xdr:row>
      <xdr:rowOff>56515</xdr:rowOff>
    </xdr:from>
    <xdr:ext cx="529590" cy="182245"/>
    <xdr:sp>
      <xdr:nvSpPr>
        <xdr:cNvPr id="19" name="文本框 18"/>
        <xdr:cNvSpPr txBox="1"/>
      </xdr:nvSpPr>
      <xdr:spPr>
        <a:xfrm>
          <a:off x="4370705" y="11867515"/>
          <a:ext cx="52959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681990</xdr:colOff>
      <xdr:row>66</xdr:row>
      <xdr:rowOff>31750</xdr:rowOff>
    </xdr:from>
    <xdr:ext cx="688975" cy="182245"/>
    <xdr:sp>
      <xdr:nvSpPr>
        <xdr:cNvPr id="20" name="文本框 19"/>
        <xdr:cNvSpPr txBox="1"/>
      </xdr:nvSpPr>
      <xdr:spPr>
        <a:xfrm>
          <a:off x="5043170" y="11842750"/>
          <a:ext cx="688975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714375</xdr:colOff>
      <xdr:row>71</xdr:row>
      <xdr:rowOff>71755</xdr:rowOff>
    </xdr:from>
    <xdr:ext cx="677545" cy="184150"/>
    <xdr:sp>
      <xdr:nvSpPr>
        <xdr:cNvPr id="21" name="文本框 20"/>
        <xdr:cNvSpPr txBox="1"/>
      </xdr:nvSpPr>
      <xdr:spPr>
        <a:xfrm>
          <a:off x="5075555" y="12784455"/>
          <a:ext cx="677545" cy="184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oneCellAnchor>
    <xdr:from>
      <xdr:col>5</xdr:col>
      <xdr:colOff>264160</xdr:colOff>
      <xdr:row>25</xdr:row>
      <xdr:rowOff>107315</xdr:rowOff>
    </xdr:from>
    <xdr:ext cx="336550" cy="182245"/>
    <xdr:sp>
      <xdr:nvSpPr>
        <xdr:cNvPr id="22" name="文本框 21"/>
        <xdr:cNvSpPr txBox="1"/>
      </xdr:nvSpPr>
      <xdr:spPr>
        <a:xfrm>
          <a:off x="3668395" y="4596765"/>
          <a:ext cx="33655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5</xdr:col>
      <xdr:colOff>186690</xdr:colOff>
      <xdr:row>48</xdr:row>
      <xdr:rowOff>34290</xdr:rowOff>
    </xdr:from>
    <xdr:ext cx="33227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23" name="文本框 22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3" name="文本框 22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186690</xdr:colOff>
      <xdr:row>48</xdr:row>
      <xdr:rowOff>34290</xdr:rowOff>
    </xdr:from>
    <xdr:ext cx="33227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24" name="文本框 23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4" name="文本框 23"/>
            <xdr:cNvSpPr txBox="1"/>
          </xdr:nvSpPr>
          <xdr:spPr>
            <a:xfrm>
              <a:off x="3590925" y="8613140"/>
              <a:ext cx="33210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7</xdr:col>
      <xdr:colOff>109220</xdr:colOff>
      <xdr:row>20</xdr:row>
      <xdr:rowOff>6985</xdr:rowOff>
    </xdr:from>
    <xdr:ext cx="688975" cy="182245"/>
    <xdr:sp>
      <xdr:nvSpPr>
        <xdr:cNvPr id="27" name="文本框 26"/>
        <xdr:cNvSpPr txBox="1"/>
      </xdr:nvSpPr>
      <xdr:spPr>
        <a:xfrm>
          <a:off x="5261610" y="3594735"/>
          <a:ext cx="688975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134620</xdr:colOff>
      <xdr:row>48</xdr:row>
      <xdr:rowOff>17780</xdr:rowOff>
    </xdr:from>
    <xdr:ext cx="689609" cy="181752"/>
    <mc:AlternateContent xmlns:mc="http://schemas.openxmlformats.org/markup-compatibility/2006">
      <mc:Choice xmlns:a14="http://schemas.microsoft.com/office/drawing/2010/main" Requires="a14">
        <xdr:sp>
          <xdr:nvSpPr>
            <xdr:cNvPr id="28" name="文本框 27"/>
            <xdr:cNvSpPr txBox="1"/>
          </xdr:nvSpPr>
          <xdr:spPr>
            <a:xfrm>
              <a:off x="5287010" y="8596630"/>
              <a:ext cx="68897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zh-CN" altLang="en-US" sz="1100" i="1">
                            <a:latin typeface="Cambria Math" panose="02040503050406030204" pitchFamily="18" charset="0"/>
                          </a:rPr>
                          <m:t>Re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zh-CN" altLang="en-US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  <m:r>
                                      <a:rPr lang="zh-CN" altLang="en-US" sz="1100" i="1">
                                        <a:latin typeface="Cambria Math" panose="02040503050406030204" pitchFamily="18" charset="0"/>
                                      </a:rPr>
                                      <m:t>𝜔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28" name="文本框 27"/>
            <xdr:cNvSpPr txBox="1"/>
          </xdr:nvSpPr>
          <xdr:spPr>
            <a:xfrm>
              <a:off x="5287010" y="8596630"/>
              <a:ext cx="688975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Re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774700</xdr:colOff>
      <xdr:row>70</xdr:row>
      <xdr:rowOff>25400</xdr:rowOff>
    </xdr:from>
    <xdr:ext cx="688340" cy="182245"/>
    <xdr:sp>
      <xdr:nvSpPr>
        <xdr:cNvPr id="29" name="文本框 28"/>
        <xdr:cNvSpPr txBox="1"/>
      </xdr:nvSpPr>
      <xdr:spPr>
        <a:xfrm>
          <a:off x="5135880" y="12560300"/>
          <a:ext cx="68834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816610</xdr:colOff>
      <xdr:row>25</xdr:row>
      <xdr:rowOff>100330</xdr:rowOff>
    </xdr:from>
    <xdr:ext cx="678180" cy="182245"/>
    <xdr:sp>
      <xdr:nvSpPr>
        <xdr:cNvPr id="30" name="文本框 29"/>
        <xdr:cNvSpPr txBox="1"/>
      </xdr:nvSpPr>
      <xdr:spPr>
        <a:xfrm>
          <a:off x="5969000" y="4589780"/>
          <a:ext cx="67818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oneCellAnchor>
    <xdr:from>
      <xdr:col>8</xdr:col>
      <xdr:colOff>30481</xdr:colOff>
      <xdr:row>48</xdr:row>
      <xdr:rowOff>38101</xdr:rowOff>
    </xdr:from>
    <xdr:ext cx="67818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31" name="文本框 30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 b="0" i="0">
                            <a:latin typeface="Cambria Math" panose="02040503050406030204" pitchFamily="18" charset="0"/>
                          </a:rPr>
                          <m:t>Im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zh-CN" altLang="en-US" sz="1100" i="0"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zh-CN" altLang="en-US" sz="1100" i="0">
                                        <a:latin typeface="Cambria Math" panose="02040503050406030204" pitchFamily="18" charset="0"/>
                                      </a:rPr>
                                      <m:t>jω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 i="0"/>
            </a:p>
          </xdr:txBody>
        </xdr:sp>
      </mc:Choice>
      <mc:Fallback>
        <xdr:sp>
          <xdr:nvSpPr>
            <xdr:cNvPr id="31" name="文本框 30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b="0">
                  <a:latin typeface="Cambria Math" panose="02040503050406030204" pitchFamily="18" charset="0"/>
                </a:rPr>
                <a:t>Im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T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jω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 i="0"/>
            </a:p>
          </xdr:txBody>
        </xdr:sp>
      </mc:Fallback>
    </mc:AlternateContent>
    <xdr:clientData/>
  </xdr:oneCellAnchor>
  <xdr:oneCellAnchor>
    <xdr:from>
      <xdr:col>8</xdr:col>
      <xdr:colOff>74930</xdr:colOff>
      <xdr:row>71</xdr:row>
      <xdr:rowOff>99060</xdr:rowOff>
    </xdr:from>
    <xdr:ext cx="677545" cy="184150"/>
    <xdr:sp>
      <xdr:nvSpPr>
        <xdr:cNvPr id="32" name="文本框 31"/>
        <xdr:cNvSpPr txBox="1"/>
      </xdr:nvSpPr>
      <xdr:spPr>
        <a:xfrm>
          <a:off x="6106160" y="12811760"/>
          <a:ext cx="677545" cy="184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oneCellAnchor>
    <xdr:from>
      <xdr:col>5</xdr:col>
      <xdr:colOff>902970</xdr:colOff>
      <xdr:row>25</xdr:row>
      <xdr:rowOff>143510</xdr:rowOff>
    </xdr:from>
    <xdr:ext cx="529590" cy="182245"/>
    <xdr:sp>
      <xdr:nvSpPr>
        <xdr:cNvPr id="33" name="文本框 32"/>
        <xdr:cNvSpPr txBox="1"/>
      </xdr:nvSpPr>
      <xdr:spPr>
        <a:xfrm>
          <a:off x="4307205" y="4632960"/>
          <a:ext cx="52959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6</xdr:col>
      <xdr:colOff>9526</xdr:colOff>
      <xdr:row>48</xdr:row>
      <xdr:rowOff>57150</xdr:rowOff>
    </xdr:from>
    <xdr:ext cx="530082" cy="181752"/>
    <mc:AlternateContent xmlns:mc="http://schemas.openxmlformats.org/markup-compatibility/2006">
      <mc:Choice xmlns:a14="http://schemas.microsoft.com/office/drawing/2010/main" Requires="a14">
        <xdr:sp>
          <xdr:nvSpPr>
            <xdr:cNvPr id="34" name="文本框 33"/>
            <xdr:cNvSpPr txBox="1"/>
          </xdr:nvSpPr>
          <xdr:spPr>
            <a:xfrm>
              <a:off x="4370705" y="863600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34" name="文本框 33"/>
            <xdr:cNvSpPr txBox="1"/>
          </xdr:nvSpPr>
          <xdr:spPr>
            <a:xfrm>
              <a:off x="4370705" y="8636000"/>
              <a:ext cx="52959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𝜑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6</xdr:col>
      <xdr:colOff>43815</xdr:colOff>
      <xdr:row>71</xdr:row>
      <xdr:rowOff>36195</xdr:rowOff>
    </xdr:from>
    <xdr:ext cx="529590" cy="182245"/>
    <xdr:sp>
      <xdr:nvSpPr>
        <xdr:cNvPr id="35" name="文本框 34"/>
        <xdr:cNvSpPr txBox="1"/>
      </xdr:nvSpPr>
      <xdr:spPr>
        <a:xfrm>
          <a:off x="4404995" y="12748895"/>
          <a:ext cx="52959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807085</xdr:colOff>
      <xdr:row>25</xdr:row>
      <xdr:rowOff>85725</xdr:rowOff>
    </xdr:from>
    <xdr:ext cx="678180" cy="182245"/>
    <xdr:sp>
      <xdr:nvSpPr>
        <xdr:cNvPr id="36" name="文本框 35"/>
        <xdr:cNvSpPr txBox="1"/>
      </xdr:nvSpPr>
      <xdr:spPr>
        <a:xfrm>
          <a:off x="5959475" y="4575175"/>
          <a:ext cx="67818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oneCellAnchor>
    <xdr:from>
      <xdr:col>8</xdr:col>
      <xdr:colOff>30481</xdr:colOff>
      <xdr:row>48</xdr:row>
      <xdr:rowOff>38101</xdr:rowOff>
    </xdr:from>
    <xdr:ext cx="678180" cy="181752"/>
    <mc:AlternateContent xmlns:mc="http://schemas.openxmlformats.org/markup-compatibility/2006">
      <mc:Choice xmlns:a14="http://schemas.microsoft.com/office/drawing/2010/main" Requires="a14">
        <xdr:sp>
          <xdr:nvSpPr>
            <xdr:cNvPr id="37" name="文本框 36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100" b="0" i="0">
                            <a:latin typeface="Cambria Math" panose="02040503050406030204" pitchFamily="18" charset="0"/>
                          </a:rPr>
                          <m:t>Im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begChr m:val="|"/>
                                <m:endChr m:val="|"/>
                                <m:ctrlPr>
                                  <a:rPr lang="zh-CN" altLang="en-US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zh-CN" altLang="en-US" sz="1100" i="0">
                                    <a:latin typeface="Cambria Math" panose="02040503050406030204" pitchFamily="18" charset="0"/>
                                  </a:rPr>
                                  <m:t>T</m:t>
                                </m:r>
                                <m:d>
                                  <m:dPr>
                                    <m:ctrlPr>
                                      <a:rPr lang="zh-CN" altLang="en-US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m:rPr>
                                        <m:sty m:val="p"/>
                                      </m:rPr>
                                      <a:rPr lang="zh-CN" altLang="en-US" sz="1100" i="0">
                                        <a:latin typeface="Cambria Math" panose="02040503050406030204" pitchFamily="18" charset="0"/>
                                      </a:rPr>
                                      <m:t>jω</m:t>
                                    </m:r>
                                  </m:e>
                                </m:d>
                              </m:e>
                            </m:d>
                          </m:e>
                        </m:d>
                      </m:e>
                    </m:func>
                  </m:oMath>
                </m:oMathPara>
              </a14:m>
              <a:endParaRPr lang="zh-CN" altLang="en-US" sz="1100" i="0"/>
            </a:p>
          </xdr:txBody>
        </xdr:sp>
      </mc:Choice>
      <mc:Fallback>
        <xdr:sp>
          <xdr:nvSpPr>
            <xdr:cNvPr id="37" name="文本框 36"/>
            <xdr:cNvSpPr txBox="1"/>
          </xdr:nvSpPr>
          <xdr:spPr>
            <a:xfrm>
              <a:off x="6061710" y="8616950"/>
              <a:ext cx="678180" cy="181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altLang="zh-CN" sz="1100" b="0">
                  <a:latin typeface="Cambria Math" panose="02040503050406030204" pitchFamily="18" charset="0"/>
                </a:rPr>
                <a:t>Im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{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T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jω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}</a:t>
              </a:r>
              <a:endParaRPr lang="zh-CN" altLang="en-US" sz="1100" i="0"/>
            </a:p>
          </xdr:txBody>
        </xdr:sp>
      </mc:Fallback>
    </mc:AlternateContent>
    <xdr:clientData/>
  </xdr:oneCellAnchor>
  <xdr:oneCellAnchor>
    <xdr:from>
      <xdr:col>8</xdr:col>
      <xdr:colOff>45085</xdr:colOff>
      <xdr:row>67</xdr:row>
      <xdr:rowOff>174625</xdr:rowOff>
    </xdr:from>
    <xdr:ext cx="678180" cy="182245"/>
    <xdr:sp>
      <xdr:nvSpPr>
        <xdr:cNvPr id="38" name="文本框 37"/>
        <xdr:cNvSpPr txBox="1"/>
      </xdr:nvSpPr>
      <xdr:spPr>
        <a:xfrm>
          <a:off x="6076315" y="12176125"/>
          <a:ext cx="678180" cy="1822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zh-CN" altLang="en-US" sz="1100" i="0"/>
        </a:p>
      </xdr:txBody>
    </xdr:sp>
    <xdr:clientData/>
  </xdr:oneCellAnchor>
  <xdr:twoCellAnchor>
    <xdr:from>
      <xdr:col>12</xdr:col>
      <xdr:colOff>1059180</xdr:colOff>
      <xdr:row>5</xdr:row>
      <xdr:rowOff>45085</xdr:rowOff>
    </xdr:from>
    <xdr:to>
      <xdr:col>19</xdr:col>
      <xdr:colOff>745490</xdr:colOff>
      <xdr:row>20</xdr:row>
      <xdr:rowOff>121285</xdr:rowOff>
    </xdr:to>
    <xdr:graphicFrame>
      <xdr:nvGraphicFramePr>
        <xdr:cNvPr id="39" name="图表 38"/>
        <xdr:cNvGraphicFramePr/>
      </xdr:nvGraphicFramePr>
      <xdr:xfrm>
        <a:off x="10401935" y="965835"/>
        <a:ext cx="54819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1056005</xdr:colOff>
      <xdr:row>20</xdr:row>
      <xdr:rowOff>121920</xdr:rowOff>
    </xdr:from>
    <xdr:to>
      <xdr:col>19</xdr:col>
      <xdr:colOff>747395</xdr:colOff>
      <xdr:row>38</xdr:row>
      <xdr:rowOff>16510</xdr:rowOff>
    </xdr:to>
    <xdr:graphicFrame>
      <xdr:nvGraphicFramePr>
        <xdr:cNvPr id="41" name="图表 40"/>
        <xdr:cNvGraphicFramePr/>
      </xdr:nvGraphicFramePr>
      <xdr:xfrm>
        <a:off x="10398760" y="3709670"/>
        <a:ext cx="5487035" cy="3107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170180</xdr:colOff>
      <xdr:row>65</xdr:row>
      <xdr:rowOff>43815</xdr:rowOff>
    </xdr:from>
    <xdr:to>
      <xdr:col>17</xdr:col>
      <xdr:colOff>465455</xdr:colOff>
      <xdr:row>80</xdr:row>
      <xdr:rowOff>160020</xdr:rowOff>
    </xdr:to>
    <xdr:graphicFrame>
      <xdr:nvGraphicFramePr>
        <xdr:cNvPr id="42" name="图表 41"/>
        <xdr:cNvGraphicFramePr/>
      </xdr:nvGraphicFramePr>
      <xdr:xfrm>
        <a:off x="8846185" y="11677015"/>
        <a:ext cx="5070475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10</xdr:col>
      <xdr:colOff>96520</xdr:colOff>
      <xdr:row>1</xdr:row>
      <xdr:rowOff>26670</xdr:rowOff>
    </xdr:from>
    <xdr:ext cx="472440" cy="171450"/>
    <mc:AlternateContent xmlns:mc="http://schemas.openxmlformats.org/markup-compatibility/2006">
      <mc:Choice xmlns:a14="http://schemas.microsoft.com/office/drawing/2010/main" Requires="a14">
        <xdr:sp>
          <xdr:nvSpPr>
            <xdr:cNvPr id="43" name="文本框 42"/>
            <xdr:cNvSpPr txBox="1"/>
          </xdr:nvSpPr>
          <xdr:spPr>
            <a:xfrm>
              <a:off x="7870825" y="204470"/>
              <a:ext cx="472440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’</m:t>
                        </m:r>
                        <m:d>
                          <m:dPr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</m:d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3" name="文本框 42"/>
            <xdr:cNvSpPr txBox="1"/>
          </xdr:nvSpPr>
          <xdr:spPr>
            <a:xfrm>
              <a:off x="7870825" y="204470"/>
              <a:ext cx="472440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11</xdr:col>
      <xdr:colOff>186055</xdr:colOff>
      <xdr:row>1</xdr:row>
      <xdr:rowOff>33655</xdr:rowOff>
    </xdr:from>
    <xdr:ext cx="327025" cy="171450"/>
    <mc:AlternateContent xmlns:mc="http://schemas.openxmlformats.org/markup-compatibility/2006">
      <mc:Choice xmlns:a14="http://schemas.microsoft.com/office/drawing/2010/main" Requires="a14">
        <xdr:sp>
          <xdr:nvSpPr>
            <xdr:cNvPr id="44" name="文本框 43"/>
            <xdr:cNvSpPr txBox="1"/>
          </xdr:nvSpPr>
          <xdr:spPr>
            <a:xfrm>
              <a:off x="8862060" y="211455"/>
              <a:ext cx="327025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’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4" name="文本框 43"/>
            <xdr:cNvSpPr txBox="1"/>
          </xdr:nvSpPr>
          <xdr:spPr>
            <a:xfrm>
              <a:off x="8862060" y="211455"/>
              <a:ext cx="327025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10</xdr:col>
      <xdr:colOff>96520</xdr:colOff>
      <xdr:row>48</xdr:row>
      <xdr:rowOff>26670</xdr:rowOff>
    </xdr:from>
    <xdr:ext cx="472440" cy="171450"/>
    <mc:AlternateContent xmlns:mc="http://schemas.openxmlformats.org/markup-compatibility/2006">
      <mc:Choice xmlns:a14="http://schemas.microsoft.com/office/drawing/2010/main" Requires="a14">
        <xdr:sp>
          <xdr:nvSpPr>
            <xdr:cNvPr id="45" name="文本框 44"/>
            <xdr:cNvSpPr txBox="1"/>
          </xdr:nvSpPr>
          <xdr:spPr>
            <a:xfrm>
              <a:off x="7870825" y="8605520"/>
              <a:ext cx="472440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|"/>
                        <m:endChr m:val="|"/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’</m:t>
                        </m:r>
                        <m:d>
                          <m:dPr>
                            <m:ctrlPr>
                              <a:rPr lang="zh-CN" altLang="en-US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zh-CN" altLang="en-US" sz="1100" i="1">
                                <a:latin typeface="Cambria Math" panose="02040503050406030204" pitchFamily="18" charset="0"/>
                              </a:rPr>
                              <m:t>𝜔</m:t>
                            </m:r>
                          </m:e>
                        </m:d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5" name="文本框 44"/>
            <xdr:cNvSpPr txBox="1"/>
          </xdr:nvSpPr>
          <xdr:spPr>
            <a:xfrm>
              <a:off x="7870825" y="8605520"/>
              <a:ext cx="472440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r>
                <a:rPr lang="zh-CN" altLang="en-US" sz="1100">
                  <a:latin typeface="Cambria Math" panose="02040503050406030204" pitchFamily="18" charset="0"/>
                </a:rPr>
                <a:t>𝑇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𝑗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|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11</xdr:col>
      <xdr:colOff>186055</xdr:colOff>
      <xdr:row>48</xdr:row>
      <xdr:rowOff>33655</xdr:rowOff>
    </xdr:from>
    <xdr:ext cx="327025" cy="171450"/>
    <mc:AlternateContent xmlns:mc="http://schemas.openxmlformats.org/markup-compatibility/2006">
      <mc:Choice xmlns:a14="http://schemas.microsoft.com/office/drawing/2010/main" Requires="a14">
        <xdr:sp>
          <xdr:nvSpPr>
            <xdr:cNvPr id="46" name="文本框 45"/>
            <xdr:cNvSpPr txBox="1"/>
          </xdr:nvSpPr>
          <xdr:spPr>
            <a:xfrm>
              <a:off x="8862060" y="8612505"/>
              <a:ext cx="327025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𝐿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’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6" name="文本框 45"/>
            <xdr:cNvSpPr txBox="1"/>
          </xdr:nvSpPr>
          <xdr:spPr>
            <a:xfrm>
              <a:off x="8862060" y="8612505"/>
              <a:ext cx="327025" cy="1714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𝐿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11</xdr:col>
      <xdr:colOff>149860</xdr:colOff>
      <xdr:row>49</xdr:row>
      <xdr:rowOff>68580</xdr:rowOff>
    </xdr:from>
    <xdr:to>
      <xdr:col>17</xdr:col>
      <xdr:colOff>450215</xdr:colOff>
      <xdr:row>65</xdr:row>
      <xdr:rowOff>17780</xdr:rowOff>
    </xdr:to>
    <xdr:graphicFrame>
      <xdr:nvGraphicFramePr>
        <xdr:cNvPr id="47" name="图表 46"/>
        <xdr:cNvGraphicFramePr/>
      </xdr:nvGraphicFramePr>
      <xdr:xfrm>
        <a:off x="8825865" y="8856980"/>
        <a:ext cx="5075555" cy="279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12</xdr:col>
      <xdr:colOff>339725</xdr:colOff>
      <xdr:row>1</xdr:row>
      <xdr:rowOff>33655</xdr:rowOff>
    </xdr:from>
    <xdr:ext cx="529590" cy="172085"/>
    <mc:AlternateContent xmlns:mc="http://schemas.openxmlformats.org/markup-compatibility/2006">
      <mc:Choice xmlns:a14="http://schemas.microsoft.com/office/drawing/2010/main" Requires="a14">
        <xdr:sp>
          <xdr:nvSpPr>
            <xdr:cNvPr id="48" name="文本框 47"/>
            <xdr:cNvSpPr txBox="1"/>
          </xdr:nvSpPr>
          <xdr:spPr>
            <a:xfrm>
              <a:off x="9682480" y="211455"/>
              <a:ext cx="529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’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8" name="文本框 47"/>
            <xdr:cNvSpPr txBox="1"/>
          </xdr:nvSpPr>
          <xdr:spPr>
            <a:xfrm>
              <a:off x="9682480" y="211455"/>
              <a:ext cx="529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𝜑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12</xdr:col>
      <xdr:colOff>339725</xdr:colOff>
      <xdr:row>48</xdr:row>
      <xdr:rowOff>33655</xdr:rowOff>
    </xdr:from>
    <xdr:ext cx="529590" cy="172085"/>
    <mc:AlternateContent xmlns:mc="http://schemas.openxmlformats.org/markup-compatibility/2006">
      <mc:Choice xmlns:a14="http://schemas.microsoft.com/office/drawing/2010/main" Requires="a14">
        <xdr:sp>
          <xdr:nvSpPr>
            <xdr:cNvPr id="49" name="文本框 48"/>
            <xdr:cNvSpPr txBox="1"/>
          </xdr:nvSpPr>
          <xdr:spPr>
            <a:xfrm>
              <a:off x="9682480" y="8612505"/>
              <a:ext cx="529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zh-CN" altLang="en-US" sz="1100" i="1">
                        <a:latin typeface="Cambria Math" panose="02040503050406030204" pitchFamily="18" charset="0"/>
                      </a:rPr>
                      <m:t>𝜑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’</m:t>
                    </m:r>
                    <m:d>
                      <m:dPr>
                        <m:ctrlPr>
                          <a:rPr lang="zh-CN" altLang="en-US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zh-CN" altLang="en-US" sz="1100" i="1">
                            <a:latin typeface="Cambria Math" panose="02040503050406030204" pitchFamily="18" charset="0"/>
                          </a:rPr>
                          <m:t>𝜔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>
          <xdr:nvSpPr>
            <xdr:cNvPr id="49" name="文本框 48"/>
            <xdr:cNvSpPr txBox="1"/>
          </xdr:nvSpPr>
          <xdr:spPr>
            <a:xfrm>
              <a:off x="9682480" y="8612505"/>
              <a:ext cx="5295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zh-CN" altLang="en-US" sz="1100">
                  <a:latin typeface="Cambria Math" panose="02040503050406030204" pitchFamily="18" charset="0"/>
                </a:rPr>
                <a:t>𝜑</a:t>
              </a:r>
              <a:r>
                <a:rPr lang="en-US" altLang="zh-CN" sz="1100">
                  <a:latin typeface="Cambria Math" panose="02040503050406030204" pitchFamily="18" charset="0"/>
                </a:rPr>
                <a:t>’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zh-CN" altLang="en-US" sz="1100">
                  <a:latin typeface="Cambria Math" panose="02040503050406030204" pitchFamily="18" charset="0"/>
                </a:rPr>
                <a:t>𝜔</a:t>
              </a:r>
              <a:r>
                <a:rPr lang="zh-CN" altLang="en-US" sz="110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20</xdr:col>
      <xdr:colOff>381635</xdr:colOff>
      <xdr:row>5</xdr:row>
      <xdr:rowOff>53975</xdr:rowOff>
    </xdr:from>
    <xdr:to>
      <xdr:col>27</xdr:col>
      <xdr:colOff>203200</xdr:colOff>
      <xdr:row>20</xdr:row>
      <xdr:rowOff>119380</xdr:rowOff>
    </xdr:to>
    <xdr:graphicFrame>
      <xdr:nvGraphicFramePr>
        <xdr:cNvPr id="10" name="图表 9"/>
        <xdr:cNvGraphicFramePr/>
      </xdr:nvGraphicFramePr>
      <xdr:xfrm>
        <a:off x="16415385" y="974725"/>
        <a:ext cx="4838065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370840</xdr:colOff>
      <xdr:row>20</xdr:row>
      <xdr:rowOff>124460</xdr:rowOff>
    </xdr:from>
    <xdr:to>
      <xdr:col>27</xdr:col>
      <xdr:colOff>245745</xdr:colOff>
      <xdr:row>37</xdr:row>
      <xdr:rowOff>90805</xdr:rowOff>
    </xdr:to>
    <xdr:graphicFrame>
      <xdr:nvGraphicFramePr>
        <xdr:cNvPr id="15" name="图表 14"/>
        <xdr:cNvGraphicFramePr/>
      </xdr:nvGraphicFramePr>
      <xdr:xfrm>
        <a:off x="16404590" y="3712210"/>
        <a:ext cx="4891405" cy="3001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842645</xdr:colOff>
      <xdr:row>49</xdr:row>
      <xdr:rowOff>27940</xdr:rowOff>
    </xdr:from>
    <xdr:to>
      <xdr:col>27</xdr:col>
      <xdr:colOff>205740</xdr:colOff>
      <xdr:row>65</xdr:row>
      <xdr:rowOff>33655</xdr:rowOff>
    </xdr:to>
    <xdr:graphicFrame>
      <xdr:nvGraphicFramePr>
        <xdr:cNvPr id="40" name="图表 39"/>
        <xdr:cNvGraphicFramePr/>
      </xdr:nvGraphicFramePr>
      <xdr:xfrm>
        <a:off x="15981045" y="8816340"/>
        <a:ext cx="5274945" cy="2850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873760</xdr:colOff>
      <xdr:row>65</xdr:row>
      <xdr:rowOff>109855</xdr:rowOff>
    </xdr:from>
    <xdr:to>
      <xdr:col>27</xdr:col>
      <xdr:colOff>279400</xdr:colOff>
      <xdr:row>81</xdr:row>
      <xdr:rowOff>48895</xdr:rowOff>
    </xdr:to>
    <xdr:graphicFrame>
      <xdr:nvGraphicFramePr>
        <xdr:cNvPr id="50" name="图表 49"/>
        <xdr:cNvGraphicFramePr/>
      </xdr:nvGraphicFramePr>
      <xdr:xfrm>
        <a:off x="16012160" y="11743055"/>
        <a:ext cx="5317490" cy="279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68580</xdr:colOff>
      <xdr:row>53</xdr:row>
      <xdr:rowOff>123825</xdr:rowOff>
    </xdr:from>
    <xdr:to>
      <xdr:col>15</xdr:col>
      <xdr:colOff>69215</xdr:colOff>
      <xdr:row>59</xdr:row>
      <xdr:rowOff>35560</xdr:rowOff>
    </xdr:to>
    <xdr:cxnSp>
      <xdr:nvCxnSpPr>
        <xdr:cNvPr id="51" name="直接连接符 50"/>
        <xdr:cNvCxnSpPr/>
      </xdr:nvCxnSpPr>
      <xdr:spPr>
        <a:xfrm>
          <a:off x="11805285" y="9623425"/>
          <a:ext cx="635" cy="978535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106680</xdr:colOff>
      <xdr:row>71</xdr:row>
      <xdr:rowOff>124460</xdr:rowOff>
    </xdr:from>
    <xdr:to>
      <xdr:col>15</xdr:col>
      <xdr:colOff>107315</xdr:colOff>
      <xdr:row>76</xdr:row>
      <xdr:rowOff>1905</xdr:rowOff>
    </xdr:to>
    <xdr:cxnSp>
      <xdr:nvCxnSpPr>
        <xdr:cNvPr id="53" name="直接连接符 52"/>
        <xdr:cNvCxnSpPr/>
      </xdr:nvCxnSpPr>
      <xdr:spPr>
        <a:xfrm>
          <a:off x="11843385" y="12837160"/>
          <a:ext cx="635" cy="766445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450850</xdr:colOff>
      <xdr:row>76</xdr:row>
      <xdr:rowOff>15240</xdr:rowOff>
    </xdr:from>
    <xdr:to>
      <xdr:col>15</xdr:col>
      <xdr:colOff>384175</xdr:colOff>
      <xdr:row>77</xdr:row>
      <xdr:rowOff>46990</xdr:rowOff>
    </xdr:to>
    <xdr:sp>
      <xdr:nvSpPr>
        <xdr:cNvPr id="54" name="文本框 53"/>
        <xdr:cNvSpPr txBox="1"/>
      </xdr:nvSpPr>
      <xdr:spPr>
        <a:xfrm>
          <a:off x="11558905" y="13616940"/>
          <a:ext cx="561975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4549.00</a:t>
          </a:r>
          <a:endParaRPr lang="en-US" altLang="zh-CN" sz="800"/>
        </a:p>
      </xdr:txBody>
    </xdr:sp>
    <xdr:clientData/>
  </xdr:twoCellAnchor>
  <xdr:twoCellAnchor>
    <xdr:from>
      <xdr:col>17</xdr:col>
      <xdr:colOff>107950</xdr:colOff>
      <xdr:row>8</xdr:row>
      <xdr:rowOff>170180</xdr:rowOff>
    </xdr:from>
    <xdr:to>
      <xdr:col>17</xdr:col>
      <xdr:colOff>112395</xdr:colOff>
      <xdr:row>15</xdr:row>
      <xdr:rowOff>158115</xdr:rowOff>
    </xdr:to>
    <xdr:cxnSp>
      <xdr:nvCxnSpPr>
        <xdr:cNvPr id="55" name="直接连接符 54"/>
        <xdr:cNvCxnSpPr/>
      </xdr:nvCxnSpPr>
      <xdr:spPr>
        <a:xfrm flipH="1">
          <a:off x="13559155" y="1624330"/>
          <a:ext cx="4445" cy="1232535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103505</xdr:colOff>
      <xdr:row>28</xdr:row>
      <xdr:rowOff>19050</xdr:rowOff>
    </xdr:from>
    <xdr:to>
      <xdr:col>17</xdr:col>
      <xdr:colOff>103505</xdr:colOff>
      <xdr:row>34</xdr:row>
      <xdr:rowOff>6350</xdr:rowOff>
    </xdr:to>
    <xdr:cxnSp>
      <xdr:nvCxnSpPr>
        <xdr:cNvPr id="57" name="直接连接符 56"/>
        <xdr:cNvCxnSpPr/>
      </xdr:nvCxnSpPr>
      <xdr:spPr>
        <a:xfrm>
          <a:off x="13554710" y="5041900"/>
          <a:ext cx="0" cy="105410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711200</xdr:colOff>
      <xdr:row>34</xdr:row>
      <xdr:rowOff>24130</xdr:rowOff>
    </xdr:from>
    <xdr:to>
      <xdr:col>17</xdr:col>
      <xdr:colOff>376555</xdr:colOff>
      <xdr:row>35</xdr:row>
      <xdr:rowOff>55880</xdr:rowOff>
    </xdr:to>
    <xdr:sp>
      <xdr:nvSpPr>
        <xdr:cNvPr id="58" name="文本框 57"/>
        <xdr:cNvSpPr txBox="1"/>
      </xdr:nvSpPr>
      <xdr:spPr>
        <a:xfrm>
          <a:off x="13267055" y="6113780"/>
          <a:ext cx="560705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4172.00</a:t>
          </a:r>
          <a:endParaRPr lang="en-US" altLang="zh-CN" sz="800"/>
        </a:p>
      </xdr:txBody>
    </xdr:sp>
    <xdr:clientData/>
  </xdr:twoCellAnchor>
  <xdr:twoCellAnchor>
    <xdr:from>
      <xdr:col>24</xdr:col>
      <xdr:colOff>80645</xdr:colOff>
      <xdr:row>8</xdr:row>
      <xdr:rowOff>172085</xdr:rowOff>
    </xdr:from>
    <xdr:to>
      <xdr:col>24</xdr:col>
      <xdr:colOff>85090</xdr:colOff>
      <xdr:row>15</xdr:row>
      <xdr:rowOff>160020</xdr:rowOff>
    </xdr:to>
    <xdr:cxnSp>
      <xdr:nvCxnSpPr>
        <xdr:cNvPr id="59" name="直接连接符 58"/>
        <xdr:cNvCxnSpPr/>
      </xdr:nvCxnSpPr>
      <xdr:spPr>
        <a:xfrm flipH="1">
          <a:off x="19244945" y="1626235"/>
          <a:ext cx="4445" cy="1232535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742950</xdr:colOff>
      <xdr:row>15</xdr:row>
      <xdr:rowOff>158750</xdr:rowOff>
    </xdr:from>
    <xdr:to>
      <xdr:col>24</xdr:col>
      <xdr:colOff>408305</xdr:colOff>
      <xdr:row>17</xdr:row>
      <xdr:rowOff>12700</xdr:rowOff>
    </xdr:to>
    <xdr:sp>
      <xdr:nvSpPr>
        <xdr:cNvPr id="60" name="文本框 59"/>
        <xdr:cNvSpPr txBox="1"/>
      </xdr:nvSpPr>
      <xdr:spPr>
        <a:xfrm>
          <a:off x="19011900" y="2857500"/>
          <a:ext cx="560705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4172.00</a:t>
          </a:r>
          <a:endParaRPr lang="en-US" altLang="zh-CN" sz="800"/>
        </a:p>
      </xdr:txBody>
    </xdr:sp>
    <xdr:clientData/>
  </xdr:twoCellAnchor>
  <xdr:twoCellAnchor>
    <xdr:from>
      <xdr:col>24</xdr:col>
      <xdr:colOff>99695</xdr:colOff>
      <xdr:row>28</xdr:row>
      <xdr:rowOff>78105</xdr:rowOff>
    </xdr:from>
    <xdr:to>
      <xdr:col>24</xdr:col>
      <xdr:colOff>100330</xdr:colOff>
      <xdr:row>32</xdr:row>
      <xdr:rowOff>113030</xdr:rowOff>
    </xdr:to>
    <xdr:cxnSp>
      <xdr:nvCxnSpPr>
        <xdr:cNvPr id="61" name="直接连接符 60"/>
        <xdr:cNvCxnSpPr/>
      </xdr:nvCxnSpPr>
      <xdr:spPr>
        <a:xfrm>
          <a:off x="19263995" y="5100955"/>
          <a:ext cx="635" cy="746125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744220</xdr:colOff>
      <xdr:row>32</xdr:row>
      <xdr:rowOff>137160</xdr:rowOff>
    </xdr:from>
    <xdr:to>
      <xdr:col>24</xdr:col>
      <xdr:colOff>409575</xdr:colOff>
      <xdr:row>33</xdr:row>
      <xdr:rowOff>168910</xdr:rowOff>
    </xdr:to>
    <xdr:sp>
      <xdr:nvSpPr>
        <xdr:cNvPr id="62" name="文本框 61"/>
        <xdr:cNvSpPr txBox="1"/>
      </xdr:nvSpPr>
      <xdr:spPr>
        <a:xfrm>
          <a:off x="19013170" y="5871210"/>
          <a:ext cx="560705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4172.00</a:t>
          </a:r>
          <a:endParaRPr lang="en-US" altLang="zh-CN" sz="800"/>
        </a:p>
      </xdr:txBody>
    </xdr:sp>
    <xdr:clientData/>
  </xdr:twoCellAnchor>
  <xdr:twoCellAnchor>
    <xdr:from>
      <xdr:col>23</xdr:col>
      <xdr:colOff>859155</xdr:colOff>
      <xdr:row>54</xdr:row>
      <xdr:rowOff>61595</xdr:rowOff>
    </xdr:from>
    <xdr:to>
      <xdr:col>23</xdr:col>
      <xdr:colOff>862330</xdr:colOff>
      <xdr:row>60</xdr:row>
      <xdr:rowOff>92075</xdr:rowOff>
    </xdr:to>
    <xdr:cxnSp>
      <xdr:nvCxnSpPr>
        <xdr:cNvPr id="63" name="直接连接符 62"/>
        <xdr:cNvCxnSpPr>
          <a:endCxn id="64" idx="0"/>
        </xdr:cNvCxnSpPr>
      </xdr:nvCxnSpPr>
      <xdr:spPr>
        <a:xfrm>
          <a:off x="19128105" y="9738995"/>
          <a:ext cx="3175" cy="109728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582295</xdr:colOff>
      <xdr:row>60</xdr:row>
      <xdr:rowOff>92075</xdr:rowOff>
    </xdr:from>
    <xdr:to>
      <xdr:col>24</xdr:col>
      <xdr:colOff>245745</xdr:colOff>
      <xdr:row>61</xdr:row>
      <xdr:rowOff>123825</xdr:rowOff>
    </xdr:to>
    <xdr:sp>
      <xdr:nvSpPr>
        <xdr:cNvPr id="64" name="文本框 63"/>
        <xdr:cNvSpPr txBox="1"/>
      </xdr:nvSpPr>
      <xdr:spPr>
        <a:xfrm>
          <a:off x="18851245" y="10836275"/>
          <a:ext cx="558800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4549.00</a:t>
          </a:r>
          <a:endParaRPr lang="en-US" altLang="zh-CN" sz="800"/>
        </a:p>
      </xdr:txBody>
    </xdr:sp>
    <xdr:clientData/>
  </xdr:twoCellAnchor>
  <xdr:twoCellAnchor>
    <xdr:from>
      <xdr:col>23</xdr:col>
      <xdr:colOff>840105</xdr:colOff>
      <xdr:row>72</xdr:row>
      <xdr:rowOff>27940</xdr:rowOff>
    </xdr:from>
    <xdr:to>
      <xdr:col>23</xdr:col>
      <xdr:colOff>840105</xdr:colOff>
      <xdr:row>76</xdr:row>
      <xdr:rowOff>59690</xdr:rowOff>
    </xdr:to>
    <xdr:cxnSp>
      <xdr:nvCxnSpPr>
        <xdr:cNvPr id="65" name="直接连接符 64"/>
        <xdr:cNvCxnSpPr/>
      </xdr:nvCxnSpPr>
      <xdr:spPr>
        <a:xfrm>
          <a:off x="19109055" y="12918440"/>
          <a:ext cx="0" cy="742950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</a:ln>
      </xdr:spPr>
      <xdr:style>
        <a:lnRef idx="0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602615</xdr:colOff>
      <xdr:row>76</xdr:row>
      <xdr:rowOff>62230</xdr:rowOff>
    </xdr:from>
    <xdr:to>
      <xdr:col>24</xdr:col>
      <xdr:colOff>269240</xdr:colOff>
      <xdr:row>77</xdr:row>
      <xdr:rowOff>93980</xdr:rowOff>
    </xdr:to>
    <xdr:sp>
      <xdr:nvSpPr>
        <xdr:cNvPr id="66" name="文本框 65"/>
        <xdr:cNvSpPr txBox="1"/>
      </xdr:nvSpPr>
      <xdr:spPr>
        <a:xfrm>
          <a:off x="18871565" y="13663930"/>
          <a:ext cx="561975" cy="209550"/>
        </a:xfrm>
        <a:prstGeom prst="rect">
          <a:avLst/>
        </a:prstGeom>
      </xdr:spPr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CN" sz="800"/>
            <a:t>4549.00</a:t>
          </a:r>
          <a:endParaRPr lang="en-US" altLang="zh-CN" sz="8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0.525713625332255</cdr:x>
      <cdr:y>0.697222222222222</cdr:y>
    </cdr:from>
    <cdr:to>
      <cdr:x>0.62810585923957</cdr:x>
      <cdr:y>0.773611111111111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888615" y="1912620"/>
          <a:ext cx="562610" cy="209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altLang="zh-CN" sz="800"/>
            <a:t>4172.00</a:t>
          </a:r>
          <a:endParaRPr lang="en-US" altLang="zh-CN" sz="8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0.54049669287408</cdr:x>
      <cdr:y>0.681796116504854</cdr:y>
    </cdr:from>
    <cdr:to>
      <cdr:x>0.650692624485211</cdr:x>
      <cdr:y>0.761893203883495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2750185" y="1783715"/>
          <a:ext cx="560705" cy="20955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en-US" altLang="zh-CN" sz="800"/>
            <a:t>4549.00</a:t>
          </a:r>
          <a:endParaRPr lang="en-US" altLang="zh-CN" sz="8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6"/>
  <sheetViews>
    <sheetView tabSelected="1" zoomScale="130" zoomScaleNormal="130" topLeftCell="K57" workbookViewId="0">
      <selection activeCell="S75" sqref="S75"/>
    </sheetView>
  </sheetViews>
  <sheetFormatPr defaultColWidth="9" defaultRowHeight="14"/>
  <cols>
    <col min="4" max="4" width="9.50909090909091" customWidth="1"/>
    <col min="5" max="5" width="12.2272727272727" customWidth="1"/>
    <col min="6" max="6" width="13.7" customWidth="1"/>
    <col min="7" max="7" width="11.3272727272727" customWidth="1"/>
    <col min="8" max="8" width="12.5818181818182" customWidth="1"/>
    <col min="9" max="9" width="10.3454545454545" customWidth="1"/>
    <col min="10" max="10" width="14.6090909090909" customWidth="1"/>
    <col min="11" max="11" width="12.9090909090909"/>
    <col min="12" max="12" width="9.54545454545454"/>
    <col min="13" max="13" width="16.2727272727273"/>
    <col min="16" max="16" width="11.7272727272727"/>
    <col min="17" max="17" width="12.8181818181818"/>
    <col min="18" max="18" width="12.3" customWidth="1"/>
    <col min="19" max="19" width="11.8545454545455" customWidth="1"/>
    <col min="20" max="20" width="12.8181818181818"/>
    <col min="21" max="21" width="14"/>
    <col min="24" max="24" width="12.8181818181818"/>
  </cols>
  <sheetData>
    <row r="1" spans="1:25">
      <c r="A1" s="1" t="s">
        <v>0</v>
      </c>
      <c r="B1" s="1"/>
      <c r="C1" s="1"/>
      <c r="D1" s="1"/>
      <c r="E1" s="1"/>
      <c r="F1" s="1"/>
      <c r="G1" s="1"/>
      <c r="H1" s="2"/>
      <c r="I1" s="2"/>
      <c r="O1" t="s">
        <v>1</v>
      </c>
      <c r="P1" t="s">
        <v>2</v>
      </c>
      <c r="Q1" t="s">
        <v>3</v>
      </c>
      <c r="R1" s="1" t="s">
        <v>4</v>
      </c>
    </row>
    <row r="2" ht="16.5" spans="1:25">
      <c r="A2" s="1" t="s">
        <v>5</v>
      </c>
      <c r="B2" s="3" t="s">
        <v>6</v>
      </c>
      <c r="C2" s="3" t="s">
        <v>7</v>
      </c>
      <c r="D2" s="3" t="s">
        <v>8</v>
      </c>
      <c r="E2" s="4"/>
      <c r="F2" s="4"/>
      <c r="G2" s="4"/>
      <c r="H2" s="4"/>
      <c r="I2" s="4"/>
      <c r="J2" s="1" t="s">
        <v>9</v>
      </c>
      <c r="K2" s="1"/>
      <c r="L2" s="4"/>
      <c r="M2" s="1"/>
      <c r="N2" s="1"/>
      <c r="O2" s="1">
        <v>5100</v>
      </c>
      <c r="P2" s="1">
        <v>47</v>
      </c>
      <c r="Q2" s="1">
        <v>664</v>
      </c>
      <c r="R2" s="5">
        <f>2*Q2*PI()</f>
        <v>4172.03504396725</v>
      </c>
      <c r="S2" s="1"/>
      <c r="T2" s="1" t="s">
        <v>10</v>
      </c>
      <c r="U2" s="1" t="s">
        <v>11</v>
      </c>
      <c r="V2" s="1"/>
      <c r="W2" s="1"/>
      <c r="X2" s="1" t="s">
        <v>12</v>
      </c>
      <c r="Y2" s="1"/>
    </row>
    <row r="3" spans="1:25">
      <c r="A3" s="1">
        <v>50</v>
      </c>
      <c r="B3" s="1">
        <v>1.0631</v>
      </c>
      <c r="C3" s="1">
        <v>1.0595</v>
      </c>
      <c r="D3" s="1">
        <v>0.0778</v>
      </c>
      <c r="E3" s="6">
        <f>C3/B3</f>
        <v>0.99661367698241</v>
      </c>
      <c r="F3" s="6">
        <f>20*LOG10(E3)</f>
        <v>-0.0294631420704186</v>
      </c>
      <c r="G3" s="6">
        <f>-DEGREES(ACOS(U3))</f>
        <v>-4.19658795853899</v>
      </c>
      <c r="H3" s="6">
        <f>E3*U3</f>
        <v>0.993941593156873</v>
      </c>
      <c r="I3" s="6">
        <f>E3*X3*(-1)</f>
        <v>-0.07293099849293</v>
      </c>
      <c r="J3" s="7">
        <f>2*A3*PI()</f>
        <v>314.159265358979</v>
      </c>
      <c r="K3" s="6">
        <f>1/SQRT(1+T3^2)</f>
        <v>0.997176657669798</v>
      </c>
      <c r="L3" s="6">
        <f t="shared" ref="L3:L16" si="0">20*LOG10(K3)</f>
        <v>-0.0245579239399176</v>
      </c>
      <c r="M3" s="8">
        <f>-DEGREES(ATAN(T3))</f>
        <v>-4.30647205215307</v>
      </c>
      <c r="N3" s="1"/>
      <c r="O3" s="1"/>
      <c r="P3" s="1"/>
      <c r="Q3" s="1"/>
      <c r="R3" s="1"/>
      <c r="S3" s="1"/>
      <c r="T3" s="1">
        <f>J3*$O$2*$P$2*10^(-9)</f>
        <v>0.0753039759065474</v>
      </c>
      <c r="U3" s="1">
        <f>(B3^2+C3^2-D3^2)/(2*B3*C3)</f>
        <v>0.99731883689011</v>
      </c>
      <c r="V3" s="1"/>
      <c r="W3" s="1"/>
      <c r="X3" s="1">
        <f>SQRT(1-U3^2)</f>
        <v>0.07317880556662</v>
      </c>
      <c r="Y3" s="1"/>
    </row>
    <row r="4" spans="1:25">
      <c r="A4" s="1">
        <v>180</v>
      </c>
      <c r="B4" s="1">
        <v>1.0626</v>
      </c>
      <c r="C4" s="1">
        <v>1.026</v>
      </c>
      <c r="D4" s="1">
        <v>0.2697</v>
      </c>
      <c r="E4" s="6">
        <f t="shared" ref="E4:E16" si="1">C4/B4</f>
        <v>0.965556182947487</v>
      </c>
      <c r="F4" s="6">
        <f t="shared" ref="F4:F16" si="2">20*LOG10(E4)</f>
        <v>-0.304449015958418</v>
      </c>
      <c r="G4" s="6">
        <f t="shared" ref="G4:G16" si="3">-DEGREES(ACOS(U4))</f>
        <v>-14.7028299303158</v>
      </c>
      <c r="H4" s="6">
        <f t="shared" ref="H4:H16" si="4">E4*U4</f>
        <v>0.933939256309938</v>
      </c>
      <c r="I4" s="6">
        <f t="shared" ref="I4:I16" si="5">E4*X4*(-1)</f>
        <v>-0.245063681420486</v>
      </c>
      <c r="J4" s="7">
        <f t="shared" ref="J4:J16" si="6">2*A4*PI()</f>
        <v>1130.97335529233</v>
      </c>
      <c r="K4" s="6">
        <f t="shared" ref="K4:K16" si="7">1/SQRT(1+T4^2)</f>
        <v>0.965162785694839</v>
      </c>
      <c r="L4" s="6">
        <f t="shared" si="0"/>
        <v>-0.307988635367773</v>
      </c>
      <c r="M4" s="8">
        <f t="shared" ref="M4:M16" si="8">-DEGREES(ATAN(T4))</f>
        <v>-15.1679983190522</v>
      </c>
      <c r="N4" s="1"/>
      <c r="O4" s="1"/>
      <c r="P4" s="1"/>
      <c r="Q4" s="1"/>
      <c r="R4" s="1"/>
      <c r="S4" s="1"/>
      <c r="T4" s="1">
        <f t="shared" ref="T4:T16" si="9">J4*$O$2*$P$2*10^(-9)</f>
        <v>0.27109431326357</v>
      </c>
      <c r="U4" s="1">
        <f t="shared" ref="U4:U17" si="10">(B4^2+C4^2-D4^2)/(2*B4*C4)</f>
        <v>0.967255218084737</v>
      </c>
      <c r="V4" s="1"/>
      <c r="W4" s="1"/>
      <c r="X4" s="1">
        <f>SQRT(1-U4^2)</f>
        <v>0.253805719178761</v>
      </c>
      <c r="Y4" s="1"/>
    </row>
    <row r="5" spans="1:25">
      <c r="A5" s="1">
        <v>320</v>
      </c>
      <c r="B5" s="1">
        <v>1.0611</v>
      </c>
      <c r="C5" s="1">
        <v>0.958</v>
      </c>
      <c r="D5" s="1">
        <v>0.4501</v>
      </c>
      <c r="E5" s="6">
        <f t="shared" si="1"/>
        <v>0.902836678918104</v>
      </c>
      <c r="F5" s="6">
        <f t="shared" si="2"/>
        <v>-0.887816109117391</v>
      </c>
      <c r="G5" s="6">
        <f t="shared" si="3"/>
        <v>-25.0983646277415</v>
      </c>
      <c r="H5" s="6">
        <f t="shared" si="4"/>
        <v>0.817591658034494</v>
      </c>
      <c r="I5" s="6">
        <f t="shared" si="5"/>
        <v>-0.382959461969904</v>
      </c>
      <c r="J5" s="7">
        <f t="shared" si="6"/>
        <v>2010.61929829747</v>
      </c>
      <c r="K5" s="6">
        <f t="shared" si="7"/>
        <v>0.900838239683894</v>
      </c>
      <c r="L5" s="6">
        <f t="shared" si="0"/>
        <v>-0.907063734685431</v>
      </c>
      <c r="M5" s="8">
        <f t="shared" si="8"/>
        <v>-25.7315302131478</v>
      </c>
      <c r="N5" s="1"/>
      <c r="O5" s="1"/>
      <c r="P5" s="1"/>
      <c r="Q5" s="1"/>
      <c r="R5" s="1"/>
      <c r="S5" s="1"/>
      <c r="T5" s="1">
        <f t="shared" si="9"/>
        <v>0.481945445801903</v>
      </c>
      <c r="U5" s="1">
        <f t="shared" si="10"/>
        <v>0.905580906409605</v>
      </c>
      <c r="V5" s="1"/>
      <c r="W5" s="1"/>
      <c r="X5" s="1">
        <f>SQRT(1-U5^2)</f>
        <v>0.424173575257062</v>
      </c>
      <c r="Y5" s="1"/>
    </row>
    <row r="6" spans="1:25">
      <c r="A6" s="1">
        <v>510</v>
      </c>
      <c r="B6" s="1">
        <v>1.0588</v>
      </c>
      <c r="C6" s="1">
        <v>0.8442</v>
      </c>
      <c r="D6" s="1">
        <v>0.6334</v>
      </c>
      <c r="E6" s="6">
        <f t="shared" si="1"/>
        <v>0.797317718171515</v>
      </c>
      <c r="F6" s="6">
        <f t="shared" si="2"/>
        <v>-1.96737169621843</v>
      </c>
      <c r="G6" s="6">
        <f t="shared" si="3"/>
        <v>-36.7418693398737</v>
      </c>
      <c r="H6" s="6">
        <f t="shared" si="4"/>
        <v>0.638921552494224</v>
      </c>
      <c r="I6" s="6">
        <f t="shared" si="5"/>
        <v>-0.476964142749329</v>
      </c>
      <c r="J6" s="7">
        <f t="shared" si="6"/>
        <v>3204.42450666159</v>
      </c>
      <c r="K6" s="6">
        <f t="shared" si="7"/>
        <v>0.793056957217292</v>
      </c>
      <c r="L6" s="6">
        <f t="shared" si="0"/>
        <v>-2.01391241211253</v>
      </c>
      <c r="M6" s="8">
        <f t="shared" si="8"/>
        <v>-37.527886320033</v>
      </c>
      <c r="N6" s="1"/>
      <c r="O6" s="1"/>
      <c r="P6" s="1"/>
      <c r="Q6" s="1"/>
      <c r="R6" s="1"/>
      <c r="S6" s="1"/>
      <c r="T6" s="1">
        <f t="shared" si="9"/>
        <v>0.768100554246783</v>
      </c>
      <c r="U6" s="1">
        <f t="shared" si="10"/>
        <v>0.801338710946321</v>
      </c>
      <c r="V6" s="1"/>
      <c r="W6" s="1"/>
      <c r="X6" s="1">
        <f>SQRT(1-U6^2)</f>
        <v>0.598210891190463</v>
      </c>
      <c r="Y6" s="1"/>
    </row>
    <row r="7" spans="1:25">
      <c r="A7" s="1">
        <v>660</v>
      </c>
      <c r="B7" s="1">
        <v>1.0571</v>
      </c>
      <c r="C7" s="1">
        <v>0.7554</v>
      </c>
      <c r="D7" s="1">
        <v>0.734</v>
      </c>
      <c r="E7" s="6">
        <f t="shared" si="1"/>
        <v>0.714596537697474</v>
      </c>
      <c r="F7" s="6">
        <f t="shared" si="2"/>
        <v>-2.91878184670528</v>
      </c>
      <c r="G7" s="6">
        <f t="shared" si="3"/>
        <v>-43.9741743995356</v>
      </c>
      <c r="H7" s="6">
        <f t="shared" si="4"/>
        <v>0.514261426943975</v>
      </c>
      <c r="I7" s="6">
        <f t="shared" si="5"/>
        <v>-0.496168717722877</v>
      </c>
      <c r="J7" s="7">
        <f t="shared" si="6"/>
        <v>4146.90230273853</v>
      </c>
      <c r="K7" s="6">
        <f t="shared" si="7"/>
        <v>0.709226847664566</v>
      </c>
      <c r="L7" s="6">
        <f t="shared" si="0"/>
        <v>-2.98429665228871</v>
      </c>
      <c r="M7" s="8">
        <f t="shared" si="8"/>
        <v>-44.8279556998137</v>
      </c>
      <c r="N7" s="1"/>
      <c r="O7" s="1"/>
      <c r="P7" s="1"/>
      <c r="Q7" s="1"/>
      <c r="R7" s="1"/>
      <c r="S7" s="1"/>
      <c r="T7" s="1">
        <f t="shared" si="9"/>
        <v>0.994012481966425</v>
      </c>
      <c r="U7" s="1">
        <f t="shared" si="10"/>
        <v>0.719652838790676</v>
      </c>
      <c r="V7" s="1"/>
      <c r="W7" s="1"/>
      <c r="X7" s="1">
        <f>SQRT(1-U7^2)</f>
        <v>0.694334063416538</v>
      </c>
      <c r="Y7" s="1"/>
    </row>
    <row r="8" spans="1:25">
      <c r="A8" s="1">
        <v>750</v>
      </c>
      <c r="B8" s="1">
        <v>1.0561</v>
      </c>
      <c r="C8" s="1">
        <v>0.7061</v>
      </c>
      <c r="D8" s="1">
        <v>0.78</v>
      </c>
      <c r="E8" s="6">
        <f t="shared" si="1"/>
        <v>0.668591989394944</v>
      </c>
      <c r="F8" s="6">
        <f t="shared" si="2"/>
        <v>-3.49677662254516</v>
      </c>
      <c r="G8" s="6">
        <f t="shared" si="3"/>
        <v>-47.607627559598</v>
      </c>
      <c r="H8" s="6">
        <f t="shared" si="4"/>
        <v>0.450767443081693</v>
      </c>
      <c r="I8" s="6">
        <f t="shared" si="5"/>
        <v>-0.493785338523413</v>
      </c>
      <c r="J8" s="7">
        <f t="shared" si="6"/>
        <v>4712.38898038469</v>
      </c>
      <c r="K8" s="6">
        <f t="shared" si="7"/>
        <v>0.662861716645477</v>
      </c>
      <c r="L8" s="6">
        <f t="shared" si="0"/>
        <v>-3.57154125578548</v>
      </c>
      <c r="M8" s="8">
        <f t="shared" si="8"/>
        <v>-48.4815095099333</v>
      </c>
      <c r="N8" s="1"/>
      <c r="O8" s="1"/>
      <c r="P8" s="1"/>
      <c r="Q8" s="1"/>
      <c r="R8" s="1"/>
      <c r="S8" s="1"/>
      <c r="T8" s="1">
        <f t="shared" si="9"/>
        <v>1.12955963859821</v>
      </c>
      <c r="U8" s="1">
        <f t="shared" si="10"/>
        <v>0.674204073981838</v>
      </c>
      <c r="V8" s="1"/>
      <c r="W8" s="1"/>
      <c r="X8" s="1">
        <f>SQRT(1-U8^2)</f>
        <v>0.738545101281088</v>
      </c>
      <c r="Y8" s="1"/>
    </row>
    <row r="9" spans="1:25">
      <c r="A9" s="1">
        <v>850</v>
      </c>
      <c r="B9" s="1">
        <v>1.0552</v>
      </c>
      <c r="C9" s="1">
        <v>0.6557</v>
      </c>
      <c r="D9" s="1">
        <v>0.8213</v>
      </c>
      <c r="E9" s="6">
        <f t="shared" si="1"/>
        <v>0.621398786959818</v>
      </c>
      <c r="F9" s="6">
        <f t="shared" si="2"/>
        <v>-4.13259197743587</v>
      </c>
      <c r="G9" s="6">
        <f t="shared" si="3"/>
        <v>-51.1059961363978</v>
      </c>
      <c r="H9" s="6">
        <f t="shared" si="4"/>
        <v>0.390164870347134</v>
      </c>
      <c r="I9" s="6">
        <f t="shared" si="5"/>
        <v>-0.483640182762079</v>
      </c>
      <c r="J9" s="7">
        <f t="shared" si="6"/>
        <v>5340.70751110265</v>
      </c>
      <c r="K9" s="6">
        <f t="shared" si="7"/>
        <v>0.615593989717828</v>
      </c>
      <c r="L9" s="6">
        <f t="shared" si="0"/>
        <v>-4.21411258009656</v>
      </c>
      <c r="M9" s="8">
        <f t="shared" si="8"/>
        <v>-52.0049066730935</v>
      </c>
      <c r="N9" s="1"/>
      <c r="O9" s="1"/>
      <c r="P9" s="1"/>
      <c r="Q9" s="1"/>
      <c r="R9" s="1"/>
      <c r="S9" s="1"/>
      <c r="T9" s="1">
        <f t="shared" si="9"/>
        <v>1.2801675904113</v>
      </c>
      <c r="U9" s="1">
        <f t="shared" si="10"/>
        <v>0.627881609257733</v>
      </c>
      <c r="V9" s="1"/>
      <c r="W9" s="1"/>
      <c r="X9" s="1">
        <f>SQRT(1-U9^2)</f>
        <v>0.778308862056651</v>
      </c>
      <c r="Y9" s="1"/>
    </row>
    <row r="10" spans="1:25">
      <c r="A10" s="1">
        <v>950</v>
      </c>
      <c r="B10" s="1">
        <v>1.0542</v>
      </c>
      <c r="C10" s="1">
        <v>0.6101</v>
      </c>
      <c r="D10" s="1">
        <v>0.8543</v>
      </c>
      <c r="E10" s="6">
        <f t="shared" si="1"/>
        <v>0.578732688294441</v>
      </c>
      <c r="F10" s="6">
        <f t="shared" si="2"/>
        <v>-4.75043973773102</v>
      </c>
      <c r="G10" s="6">
        <f t="shared" si="3"/>
        <v>-54.1296892393385</v>
      </c>
      <c r="H10" s="6">
        <f t="shared" si="4"/>
        <v>0.339109885632957</v>
      </c>
      <c r="I10" s="6">
        <f t="shared" si="5"/>
        <v>-0.46897335741651</v>
      </c>
      <c r="J10" s="7">
        <f t="shared" si="6"/>
        <v>5969.02604182061</v>
      </c>
      <c r="K10" s="6">
        <f t="shared" si="7"/>
        <v>0.57286899412121</v>
      </c>
      <c r="L10" s="6">
        <f t="shared" si="0"/>
        <v>-4.83889365612368</v>
      </c>
      <c r="M10" s="8">
        <f t="shared" si="8"/>
        <v>-55.0494672644407</v>
      </c>
      <c r="N10" s="1"/>
      <c r="O10" s="1"/>
      <c r="P10" s="1"/>
      <c r="Q10" s="1"/>
      <c r="R10" s="1"/>
      <c r="S10" s="1"/>
      <c r="T10" s="1">
        <f t="shared" si="9"/>
        <v>1.4307755422244</v>
      </c>
      <c r="U10" s="1">
        <f t="shared" si="10"/>
        <v>0.585952534722608</v>
      </c>
      <c r="V10" s="1"/>
      <c r="W10" s="1"/>
      <c r="X10" s="1">
        <f>SQRT(1-U10^2)</f>
        <v>0.810345375165522</v>
      </c>
      <c r="Y10" s="1"/>
    </row>
    <row r="11" spans="1:25">
      <c r="A11" s="1">
        <v>1150</v>
      </c>
      <c r="B11" s="1">
        <v>1.0525</v>
      </c>
      <c r="C11" s="1">
        <v>0.532</v>
      </c>
      <c r="D11" s="1">
        <v>0.928</v>
      </c>
      <c r="E11" s="6">
        <f t="shared" si="1"/>
        <v>0.505463182897862</v>
      </c>
      <c r="F11" s="6">
        <f t="shared" si="2"/>
        <v>-5.92620944425315</v>
      </c>
      <c r="G11" s="6">
        <f t="shared" si="3"/>
        <v>-61.7764535095843</v>
      </c>
      <c r="H11" s="6">
        <f t="shared" si="4"/>
        <v>0.239040064093522</v>
      </c>
      <c r="I11" s="6">
        <f t="shared" si="5"/>
        <v>-0.445368248782288</v>
      </c>
      <c r="J11" s="7">
        <f t="shared" si="6"/>
        <v>7225.66310325652</v>
      </c>
      <c r="K11" s="6">
        <f t="shared" si="7"/>
        <v>0.500012852464315</v>
      </c>
      <c r="L11" s="6">
        <f t="shared" si="0"/>
        <v>-6.02037664597592</v>
      </c>
      <c r="M11" s="8">
        <f t="shared" si="8"/>
        <v>-59.9991496841626</v>
      </c>
      <c r="N11" s="1"/>
      <c r="O11" s="1"/>
      <c r="P11" s="1"/>
      <c r="Q11" s="1"/>
      <c r="R11" s="1"/>
      <c r="S11" s="1"/>
      <c r="T11" s="1">
        <f t="shared" si="9"/>
        <v>1.73199144585059</v>
      </c>
      <c r="U11" s="1">
        <f t="shared" si="10"/>
        <v>0.472912908756452</v>
      </c>
      <c r="V11" s="1"/>
      <c r="W11" s="1"/>
      <c r="X11" s="1">
        <f>SQRT(1-U11^2)</f>
        <v>0.881109176397291</v>
      </c>
      <c r="Y11" s="1"/>
    </row>
    <row r="12" spans="1:25">
      <c r="A12" s="1">
        <v>2100</v>
      </c>
      <c r="B12" s="1">
        <v>1.0471</v>
      </c>
      <c r="C12" s="1">
        <v>0.3177</v>
      </c>
      <c r="D12" s="1">
        <v>0.9919</v>
      </c>
      <c r="E12" s="6">
        <f t="shared" si="1"/>
        <v>0.303409416483621</v>
      </c>
      <c r="F12" s="6">
        <f t="shared" si="2"/>
        <v>-10.3594188952828</v>
      </c>
      <c r="G12" s="6">
        <f t="shared" si="3"/>
        <v>-71.284225155093</v>
      </c>
      <c r="H12" s="6">
        <f t="shared" si="4"/>
        <v>0.0973561224678813</v>
      </c>
      <c r="I12" s="6">
        <f t="shared" si="5"/>
        <v>-0.287365724172091</v>
      </c>
      <c r="J12" s="7">
        <f t="shared" si="6"/>
        <v>13194.6891450771</v>
      </c>
      <c r="K12" s="6">
        <f t="shared" si="7"/>
        <v>0.301468936076768</v>
      </c>
      <c r="L12" s="6">
        <f t="shared" si="0"/>
        <v>-10.4151486346879</v>
      </c>
      <c r="M12" s="8">
        <f t="shared" si="8"/>
        <v>-72.454147793521</v>
      </c>
      <c r="N12" s="1"/>
      <c r="O12" s="1"/>
      <c r="P12" s="1"/>
      <c r="Q12" s="1"/>
      <c r="R12" s="1"/>
      <c r="S12" s="1"/>
      <c r="T12" s="1">
        <f t="shared" si="9"/>
        <v>3.16276698807499</v>
      </c>
      <c r="U12" s="1">
        <f t="shared" si="10"/>
        <v>0.320873767189546</v>
      </c>
      <c r="V12" s="1"/>
      <c r="W12" s="1"/>
      <c r="X12" s="1">
        <f>SQRT(1-U12^2)</f>
        <v>0.94712196972174</v>
      </c>
      <c r="Y12" s="1"/>
    </row>
    <row r="13" spans="1:25">
      <c r="A13" s="1">
        <v>3000</v>
      </c>
      <c r="B13" s="1">
        <v>1.0434</v>
      </c>
      <c r="C13" s="1">
        <v>0.2245</v>
      </c>
      <c r="D13" s="1">
        <v>1.0129</v>
      </c>
      <c r="E13" s="6">
        <f t="shared" si="1"/>
        <v>0.215161970481119</v>
      </c>
      <c r="F13" s="6">
        <f t="shared" si="2"/>
        <v>-13.3446897409403</v>
      </c>
      <c r="G13" s="6">
        <f t="shared" si="3"/>
        <v>-76.0276985063703</v>
      </c>
      <c r="H13" s="6">
        <f t="shared" si="4"/>
        <v>0.0519514596142152</v>
      </c>
      <c r="I13" s="6">
        <f t="shared" si="5"/>
        <v>-0.208795879713347</v>
      </c>
      <c r="J13" s="7">
        <f t="shared" si="6"/>
        <v>18849.5559215388</v>
      </c>
      <c r="K13" s="6">
        <f t="shared" si="7"/>
        <v>0.216095755760298</v>
      </c>
      <c r="L13" s="6">
        <f t="shared" si="0"/>
        <v>-13.3070752563179</v>
      </c>
      <c r="M13" s="8">
        <f t="shared" si="8"/>
        <v>-77.5201791807895</v>
      </c>
      <c r="N13" s="1"/>
      <c r="O13" s="1"/>
      <c r="P13" s="1"/>
      <c r="Q13" s="1"/>
      <c r="R13" s="1"/>
      <c r="S13" s="1"/>
      <c r="T13" s="1">
        <f t="shared" si="9"/>
        <v>4.51823855439284</v>
      </c>
      <c r="U13" s="1">
        <f t="shared" si="10"/>
        <v>0.241452797155779</v>
      </c>
      <c r="V13" s="1"/>
      <c r="W13" s="1"/>
      <c r="X13" s="1">
        <f>SQRT(1-U13^2)</f>
        <v>0.970412565224529</v>
      </c>
      <c r="Y13" s="1"/>
    </row>
    <row r="14" spans="1:25">
      <c r="A14" s="1">
        <v>4000</v>
      </c>
      <c r="B14" s="1">
        <v>1.0406</v>
      </c>
      <c r="C14" s="1">
        <v>0.1683</v>
      </c>
      <c r="D14" s="1">
        <v>1.0207</v>
      </c>
      <c r="E14" s="6">
        <f t="shared" si="1"/>
        <v>0.161733615221987</v>
      </c>
      <c r="F14" s="6">
        <f t="shared" si="2"/>
        <v>-15.8239941116839</v>
      </c>
      <c r="G14" s="6">
        <f t="shared" si="3"/>
        <v>-78.5812895900373</v>
      </c>
      <c r="H14" s="6">
        <f t="shared" si="4"/>
        <v>0.0320196079901713</v>
      </c>
      <c r="I14" s="6">
        <f t="shared" si="5"/>
        <v>-0.158532353155214</v>
      </c>
      <c r="J14" s="7">
        <f t="shared" si="6"/>
        <v>25132.7412287183</v>
      </c>
      <c r="K14" s="6">
        <f t="shared" si="7"/>
        <v>0.163753196060092</v>
      </c>
      <c r="L14" s="6">
        <f t="shared" si="0"/>
        <v>-15.7162042978422</v>
      </c>
      <c r="M14" s="8">
        <f t="shared" si="8"/>
        <v>-80.5751872454015</v>
      </c>
      <c r="N14" s="1"/>
      <c r="O14" s="1"/>
      <c r="P14" s="1"/>
      <c r="Q14" s="1"/>
      <c r="R14" s="1"/>
      <c r="S14" s="1"/>
      <c r="T14" s="1">
        <f t="shared" si="9"/>
        <v>6.02431807252379</v>
      </c>
      <c r="U14" s="1">
        <f t="shared" si="10"/>
        <v>0.197977445481713</v>
      </c>
      <c r="V14" s="1"/>
      <c r="W14" s="1"/>
      <c r="X14" s="1">
        <f>SQRT(1-U14^2)</f>
        <v>0.980206575717861</v>
      </c>
      <c r="Y14" s="1"/>
    </row>
    <row r="15" spans="1:25">
      <c r="A15" s="1">
        <v>5000</v>
      </c>
      <c r="B15" s="1">
        <v>1.0384</v>
      </c>
      <c r="C15" s="1">
        <v>0.1332</v>
      </c>
      <c r="D15" s="1">
        <v>1.0234</v>
      </c>
      <c r="E15" s="6">
        <f t="shared" si="1"/>
        <v>0.128274268104777</v>
      </c>
      <c r="F15" s="6">
        <f t="shared" si="2"/>
        <v>-17.8372090924402</v>
      </c>
      <c r="G15" s="6">
        <f t="shared" si="3"/>
        <v>-79.8668454661963</v>
      </c>
      <c r="H15" s="6">
        <f t="shared" si="4"/>
        <v>0.0225681110384353</v>
      </c>
      <c r="I15" s="6">
        <f t="shared" si="5"/>
        <v>-0.126273386831799</v>
      </c>
      <c r="J15" s="7">
        <f t="shared" si="6"/>
        <v>31415.9265358979</v>
      </c>
      <c r="K15" s="6">
        <f t="shared" si="7"/>
        <v>0.131639484599896</v>
      </c>
      <c r="L15" s="6">
        <f t="shared" si="0"/>
        <v>-17.6122765348245</v>
      </c>
      <c r="M15" s="8">
        <f t="shared" si="8"/>
        <v>-82.4356578603493</v>
      </c>
      <c r="N15" s="1"/>
      <c r="O15" s="1"/>
      <c r="P15" s="1"/>
      <c r="Q15" s="1"/>
      <c r="R15" s="1"/>
      <c r="S15" s="1"/>
      <c r="T15" s="1">
        <f t="shared" si="9"/>
        <v>7.53039759065473</v>
      </c>
      <c r="U15" s="1">
        <f t="shared" si="10"/>
        <v>0.175936385152486</v>
      </c>
      <c r="V15" s="1"/>
      <c r="W15" s="1"/>
      <c r="X15" s="1">
        <f>SQRT(1-U15^2)</f>
        <v>0.984401538184229</v>
      </c>
      <c r="Y15" s="1"/>
    </row>
    <row r="16" spans="1:25">
      <c r="A16" s="1">
        <v>6000</v>
      </c>
      <c r="B16" s="1">
        <v>1.037</v>
      </c>
      <c r="C16" s="1">
        <v>0.1091</v>
      </c>
      <c r="D16" s="1">
        <v>1.0247</v>
      </c>
      <c r="E16" s="6">
        <f t="shared" si="1"/>
        <v>0.105207328833173</v>
      </c>
      <c r="F16" s="6">
        <f t="shared" si="2"/>
        <v>-19.559080116014</v>
      </c>
      <c r="G16" s="6">
        <f t="shared" si="3"/>
        <v>-80.5216069586816</v>
      </c>
      <c r="H16" s="6">
        <f t="shared" si="4"/>
        <v>0.0173250856217727</v>
      </c>
      <c r="I16" s="6">
        <f t="shared" si="5"/>
        <v>-0.103771014490606</v>
      </c>
      <c r="J16" s="7">
        <f t="shared" si="6"/>
        <v>37699.1118430775</v>
      </c>
      <c r="K16" s="6">
        <f t="shared" si="7"/>
        <v>0.109991156279855</v>
      </c>
      <c r="L16" s="6">
        <f t="shared" si="0"/>
        <v>-19.1728446483375</v>
      </c>
      <c r="M16" s="8">
        <f t="shared" si="8"/>
        <v>-83.6851942319172</v>
      </c>
      <c r="N16" s="1"/>
      <c r="O16" s="1"/>
      <c r="P16" s="1"/>
      <c r="Q16" s="1"/>
      <c r="R16" s="1"/>
      <c r="S16" s="1"/>
      <c r="T16" s="1">
        <f t="shared" si="9"/>
        <v>9.03647710878568</v>
      </c>
      <c r="U16" s="1">
        <f t="shared" si="10"/>
        <v>0.164675653435181</v>
      </c>
      <c r="V16" s="1"/>
      <c r="W16" s="1"/>
      <c r="X16" s="1">
        <f>SQRT(1-U16^2)</f>
        <v>0.986347772930875</v>
      </c>
      <c r="Y16" s="1"/>
    </row>
    <row r="17" spans="1:25">
      <c r="A17" s="1"/>
      <c r="B17" s="1"/>
      <c r="C17" t="s">
        <v>1</v>
      </c>
      <c r="D17" t="s">
        <v>2</v>
      </c>
      <c r="E17" t="s">
        <v>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1"/>
      <c r="B18" s="1"/>
      <c r="C18" s="1">
        <v>5100</v>
      </c>
      <c r="D18" s="1">
        <v>47</v>
      </c>
      <c r="E18" s="1">
        <v>664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" spans="1:25">
      <c r="A21" s="1"/>
      <c r="B21" s="3"/>
      <c r="C21" s="3"/>
      <c r="D21" s="3"/>
      <c r="E21" s="4"/>
      <c r="F21" s="4"/>
      <c r="G21" s="4"/>
      <c r="H21" s="4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"/>
      <c r="B39" s="3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>
      <c r="A47" s="1" t="s">
        <v>13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14</v>
      </c>
      <c r="P47" s="1" t="s">
        <v>15</v>
      </c>
      <c r="Q47" s="1" t="s">
        <v>16</v>
      </c>
      <c r="R47" s="1"/>
      <c r="S47" s="1" t="s">
        <v>4</v>
      </c>
      <c r="T47" s="1"/>
      <c r="U47" s="1"/>
      <c r="V47" s="1"/>
      <c r="W47" s="1"/>
      <c r="X47" s="1"/>
      <c r="Y47" s="1"/>
    </row>
    <row r="48" spans="1:25">
      <c r="A48" s="1" t="s">
        <v>17</v>
      </c>
      <c r="B48" s="1"/>
      <c r="C48" s="1"/>
      <c r="D48" s="1"/>
      <c r="E48" s="1"/>
      <c r="F48" s="1"/>
      <c r="G48" s="1"/>
      <c r="H48" s="2"/>
      <c r="I48" s="2"/>
      <c r="J48" s="1"/>
      <c r="K48" s="1"/>
      <c r="L48" s="1"/>
      <c r="M48" s="1"/>
      <c r="N48" s="1"/>
      <c r="O48" s="1">
        <v>1000</v>
      </c>
      <c r="P48" s="1">
        <v>220</v>
      </c>
      <c r="Q48" s="1">
        <v>724</v>
      </c>
      <c r="R48" s="1"/>
      <c r="S48" s="5">
        <f>Q48*2*PI()</f>
        <v>4549.02616239802</v>
      </c>
      <c r="T48" s="1"/>
      <c r="U48" s="1"/>
      <c r="V48" s="1"/>
      <c r="W48" s="1"/>
      <c r="X48" s="1"/>
      <c r="Y48" s="1"/>
    </row>
    <row r="49" ht="16.5" spans="1:25">
      <c r="A49" s="1" t="s">
        <v>5</v>
      </c>
      <c r="B49" s="3" t="s">
        <v>6</v>
      </c>
      <c r="C49" s="3" t="s">
        <v>7</v>
      </c>
      <c r="D49" s="3" t="s">
        <v>8</v>
      </c>
      <c r="E49" s="4"/>
      <c r="F49" s="4"/>
      <c r="G49" s="4"/>
      <c r="H49" s="4"/>
      <c r="I49" s="4"/>
      <c r="J49" s="1" t="s">
        <v>4</v>
      </c>
      <c r="K49" s="1"/>
      <c r="L49" s="4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>
      <c r="A50" s="1">
        <v>70</v>
      </c>
      <c r="B50" s="1">
        <v>1.0607</v>
      </c>
      <c r="C50" s="1">
        <v>1.0842</v>
      </c>
      <c r="D50" s="1">
        <v>0.1003</v>
      </c>
      <c r="E50" s="6">
        <f>C50/B50</f>
        <v>1.02215518054115</v>
      </c>
      <c r="F50" s="6">
        <f t="shared" ref="F50:F63" si="11">20*LOG10(E50)</f>
        <v>0.190336681858019</v>
      </c>
      <c r="G50" s="6">
        <f t="shared" ref="G50:G63" si="12">-DEGREES(ACOS(U50))</f>
        <v>-5.21149469170373</v>
      </c>
      <c r="H50" s="6">
        <f t="shared" ref="H50:H63" si="13">E50*U50</f>
        <v>1.01792979121061</v>
      </c>
      <c r="I50" s="6">
        <f t="shared" ref="I50:I63" si="14">E50*X50*(-1)</f>
        <v>-0.0928447805373629</v>
      </c>
      <c r="J50" s="7">
        <f>2*A50*PI()</f>
        <v>439.822971502571</v>
      </c>
      <c r="K50" s="1">
        <f>1/SQRT(1+T50^2)</f>
        <v>0.995351267411468</v>
      </c>
      <c r="L50" s="6">
        <f t="shared" ref="L50:L63" si="15">20*LOG10(K50)</f>
        <v>-0.0404725242486682</v>
      </c>
      <c r="M50" s="8">
        <f>-DEGREES(ATAN(T50))</f>
        <v>-5.52679427987465</v>
      </c>
      <c r="N50" s="1"/>
      <c r="O50" s="1"/>
      <c r="P50" s="1"/>
      <c r="Q50" s="1"/>
      <c r="R50" s="1"/>
      <c r="S50" s="1"/>
      <c r="T50" s="1">
        <f>$O$48*$P$48*J50*10^(-9)</f>
        <v>0.0967610537305656</v>
      </c>
      <c r="U50" s="1">
        <f t="shared" ref="U50:U62" si="16">(B50^2+C50^2-D50^2)/(2*B50*C50)</f>
        <v>0.995866195846798</v>
      </c>
      <c r="V50" s="1"/>
      <c r="W50" s="1"/>
      <c r="X50" s="1">
        <f t="shared" ref="X50:X62" si="17">SQRT(1-U50^2)</f>
        <v>0.0908323729164186</v>
      </c>
      <c r="Y50" s="1"/>
    </row>
    <row r="51" spans="1:25">
      <c r="A51" s="1">
        <v>180</v>
      </c>
      <c r="B51" s="1">
        <v>1.0585</v>
      </c>
      <c r="C51" s="1">
        <v>1.0571</v>
      </c>
      <c r="D51" s="1">
        <v>0.2422</v>
      </c>
      <c r="E51" s="6">
        <f t="shared" ref="E51:E62" si="18">C51/B51</f>
        <v>0.998677373641946</v>
      </c>
      <c r="F51" s="6">
        <f t="shared" si="11"/>
        <v>-0.0114957905732094</v>
      </c>
      <c r="G51" s="6">
        <f t="shared" si="12"/>
        <v>-13.1473818485559</v>
      </c>
      <c r="H51" s="6">
        <f t="shared" si="13"/>
        <v>0.972500242654053</v>
      </c>
      <c r="I51" s="6">
        <f t="shared" si="14"/>
        <v>-0.227155837834257</v>
      </c>
      <c r="J51" s="7">
        <f t="shared" ref="J50:J63" si="19">2*A51*PI()</f>
        <v>1130.97335529233</v>
      </c>
      <c r="K51" s="1">
        <f t="shared" ref="K50:K63" si="20">1/SQRT(1+T51^2)</f>
        <v>0.970412666229278</v>
      </c>
      <c r="L51" s="6">
        <f t="shared" si="15"/>
        <v>-0.260870870249664</v>
      </c>
      <c r="M51" s="8">
        <f t="shared" ref="M50:M63" si="21">-DEGREES(ATAN(T51))</f>
        <v>-13.9722775255881</v>
      </c>
      <c r="N51" s="1"/>
      <c r="O51" s="1"/>
      <c r="P51" s="1"/>
      <c r="Q51" s="1"/>
      <c r="R51" s="1"/>
      <c r="S51" s="1"/>
      <c r="T51" s="1">
        <f t="shared" ref="T51:T62" si="22">$O$48*$P$48*J51*10^(-9)</f>
        <v>0.248814138164312</v>
      </c>
      <c r="U51" s="1">
        <f t="shared" si="16"/>
        <v>0.973788200595322</v>
      </c>
      <c r="V51" s="1"/>
      <c r="W51" s="1"/>
      <c r="X51" s="1">
        <f t="shared" si="17"/>
        <v>0.227456678031937</v>
      </c>
      <c r="Y51" s="1"/>
    </row>
    <row r="52" spans="1:25">
      <c r="A52" s="1">
        <v>270</v>
      </c>
      <c r="B52" s="1">
        <v>1.0555</v>
      </c>
      <c r="C52" s="1">
        <v>1.0217</v>
      </c>
      <c r="D52" s="1">
        <v>0.3073</v>
      </c>
      <c r="E52" s="6">
        <f t="shared" si="18"/>
        <v>0.967977261961156</v>
      </c>
      <c r="F52" s="6">
        <f t="shared" si="11"/>
        <v>-0.282696885253234</v>
      </c>
      <c r="G52" s="6">
        <f t="shared" si="12"/>
        <v>-16.9133378557244</v>
      </c>
      <c r="H52" s="6">
        <f t="shared" si="13"/>
        <v>0.926108262847313</v>
      </c>
      <c r="I52" s="6">
        <f t="shared" si="14"/>
        <v>-0.281608709310896</v>
      </c>
      <c r="J52" s="7">
        <f t="shared" si="19"/>
        <v>1696.46003293849</v>
      </c>
      <c r="K52" s="1">
        <f t="shared" si="20"/>
        <v>0.936875930737824</v>
      </c>
      <c r="L52" s="6">
        <f t="shared" si="15"/>
        <v>-0.566358367166108</v>
      </c>
      <c r="M52" s="8">
        <f t="shared" si="21"/>
        <v>-20.4666408389701</v>
      </c>
      <c r="N52" s="1"/>
      <c r="O52" s="1"/>
      <c r="P52" s="1"/>
      <c r="Q52" s="1"/>
      <c r="R52" s="1"/>
      <c r="S52" s="1"/>
      <c r="T52" s="1">
        <f t="shared" si="22"/>
        <v>0.373221207246467</v>
      </c>
      <c r="U52" s="1">
        <f t="shared" si="16"/>
        <v>0.956745885715316</v>
      </c>
      <c r="V52" s="1"/>
      <c r="W52" s="1"/>
      <c r="X52" s="1">
        <f t="shared" si="17"/>
        <v>0.290924921873006</v>
      </c>
      <c r="Y52" s="1"/>
    </row>
    <row r="53" spans="1:25">
      <c r="A53" s="1">
        <v>380</v>
      </c>
      <c r="B53" s="1">
        <v>1.0505</v>
      </c>
      <c r="C53" s="1">
        <v>0.9663</v>
      </c>
      <c r="D53" s="1">
        <v>0.4681</v>
      </c>
      <c r="E53" s="6">
        <f t="shared" si="18"/>
        <v>0.91984769157544</v>
      </c>
      <c r="F53" s="6">
        <f t="shared" si="11"/>
        <v>-0.725681544052354</v>
      </c>
      <c r="G53" s="6">
        <f t="shared" si="12"/>
        <v>-26.4191855916124</v>
      </c>
      <c r="H53" s="6">
        <f t="shared" si="13"/>
        <v>0.823781395545875</v>
      </c>
      <c r="I53" s="6">
        <f t="shared" si="14"/>
        <v>-0.409272510742116</v>
      </c>
      <c r="J53" s="7">
        <f t="shared" si="19"/>
        <v>2387.61041672824</v>
      </c>
      <c r="K53" s="1">
        <f t="shared" si="20"/>
        <v>0.885297942598121</v>
      </c>
      <c r="L53" s="6">
        <f t="shared" si="15"/>
        <v>-1.058210901292</v>
      </c>
      <c r="M53" s="8">
        <f t="shared" si="21"/>
        <v>-27.7117914608448</v>
      </c>
      <c r="N53" s="1"/>
      <c r="O53" s="1"/>
      <c r="P53" s="1"/>
      <c r="Q53" s="1"/>
      <c r="R53" s="1"/>
      <c r="S53" s="1"/>
      <c r="T53" s="1">
        <f t="shared" si="22"/>
        <v>0.525274291680213</v>
      </c>
      <c r="U53" s="1">
        <f t="shared" si="16"/>
        <v>0.895562823161484</v>
      </c>
      <c r="V53" s="1"/>
      <c r="W53" s="1"/>
      <c r="X53" s="1">
        <f t="shared" si="17"/>
        <v>0.444935084895574</v>
      </c>
      <c r="Y53" s="1"/>
    </row>
    <row r="54" spans="1:25">
      <c r="A54" s="1">
        <v>580</v>
      </c>
      <c r="B54" s="1">
        <v>1.0415</v>
      </c>
      <c r="C54" s="1">
        <v>0.8532</v>
      </c>
      <c r="D54" s="1">
        <v>0.6312</v>
      </c>
      <c r="E54" s="6">
        <f t="shared" si="18"/>
        <v>0.819203072491599</v>
      </c>
      <c r="F54" s="6">
        <f t="shared" si="11"/>
        <v>-1.73216855012747</v>
      </c>
      <c r="G54" s="6">
        <f t="shared" si="12"/>
        <v>-37.2717321502353</v>
      </c>
      <c r="H54" s="6">
        <f t="shared" si="13"/>
        <v>0.651899161282992</v>
      </c>
      <c r="I54" s="6">
        <f t="shared" si="14"/>
        <v>-0.49610599421717</v>
      </c>
      <c r="J54" s="7">
        <f t="shared" si="19"/>
        <v>3644.24747816416</v>
      </c>
      <c r="K54" s="1">
        <f t="shared" si="20"/>
        <v>0.780208262033285</v>
      </c>
      <c r="L54" s="6">
        <f t="shared" si="15"/>
        <v>-2.15578910057</v>
      </c>
      <c r="M54" s="8">
        <f t="shared" si="21"/>
        <v>-38.7203523664013</v>
      </c>
      <c r="N54" s="1"/>
      <c r="O54" s="1"/>
      <c r="P54" s="1"/>
      <c r="Q54" s="1"/>
      <c r="R54" s="1"/>
      <c r="S54" s="1"/>
      <c r="T54" s="1">
        <f t="shared" si="22"/>
        <v>0.801734445196115</v>
      </c>
      <c r="U54" s="1">
        <f t="shared" si="16"/>
        <v>0.795772358739142</v>
      </c>
      <c r="V54" s="1"/>
      <c r="W54" s="1"/>
      <c r="X54" s="1">
        <f t="shared" si="17"/>
        <v>0.605595866124218</v>
      </c>
      <c r="Y54" s="1"/>
    </row>
    <row r="55" spans="1:25">
      <c r="A55" s="1">
        <v>690</v>
      </c>
      <c r="B55" s="1">
        <v>1.0367</v>
      </c>
      <c r="C55" s="1">
        <v>0.7919</v>
      </c>
      <c r="D55" s="1">
        <v>0.6973</v>
      </c>
      <c r="E55" s="6">
        <f t="shared" si="18"/>
        <v>0.763866113629787</v>
      </c>
      <c r="F55" s="6">
        <f t="shared" si="11"/>
        <v>-2.33965511139871</v>
      </c>
      <c r="G55" s="6">
        <f t="shared" si="12"/>
        <v>-42.2374273641519</v>
      </c>
      <c r="H55" s="6">
        <f t="shared" si="13"/>
        <v>0.565540231523722</v>
      </c>
      <c r="I55" s="6">
        <f t="shared" si="14"/>
        <v>-0.513474133798354</v>
      </c>
      <c r="J55" s="7">
        <f t="shared" si="19"/>
        <v>4335.39786195391</v>
      </c>
      <c r="K55" s="1">
        <f t="shared" si="20"/>
        <v>0.723629419137719</v>
      </c>
      <c r="L55" s="6">
        <f t="shared" si="15"/>
        <v>-2.80967570441876</v>
      </c>
      <c r="M55" s="8">
        <f t="shared" si="21"/>
        <v>-43.6450492343172</v>
      </c>
      <c r="N55" s="1"/>
      <c r="O55" s="1"/>
      <c r="P55" s="1"/>
      <c r="Q55" s="1"/>
      <c r="R55" s="1"/>
      <c r="S55" s="1"/>
      <c r="T55" s="1">
        <f t="shared" si="22"/>
        <v>0.953787529629861</v>
      </c>
      <c r="U55" s="1">
        <f t="shared" si="16"/>
        <v>0.740365649729312</v>
      </c>
      <c r="V55" s="1"/>
      <c r="W55" s="1"/>
      <c r="X55" s="1">
        <f t="shared" si="17"/>
        <v>0.672204362304272</v>
      </c>
      <c r="Y55" s="1"/>
    </row>
    <row r="56" spans="1:25">
      <c r="A56" s="1">
        <v>730</v>
      </c>
      <c r="B56" s="1">
        <v>1.0351</v>
      </c>
      <c r="C56" s="1">
        <v>0.7705</v>
      </c>
      <c r="D56" s="1">
        <v>0.7179</v>
      </c>
      <c r="E56" s="6">
        <f t="shared" si="18"/>
        <v>0.744372524393778</v>
      </c>
      <c r="F56" s="6">
        <f t="shared" si="11"/>
        <v>-2.56419331062088</v>
      </c>
      <c r="G56" s="6">
        <f t="shared" si="12"/>
        <v>-43.8803826589567</v>
      </c>
      <c r="H56" s="6">
        <f t="shared" si="13"/>
        <v>0.536535141413219</v>
      </c>
      <c r="I56" s="6">
        <f t="shared" si="14"/>
        <v>-0.515965596819267</v>
      </c>
      <c r="J56" s="7">
        <f t="shared" si="19"/>
        <v>4586.7252742411</v>
      </c>
      <c r="K56" s="1">
        <f t="shared" si="20"/>
        <v>0.703903991035429</v>
      </c>
      <c r="L56" s="6">
        <f t="shared" si="15"/>
        <v>-3.0497314480376</v>
      </c>
      <c r="M56" s="8">
        <f t="shared" si="21"/>
        <v>-45.2589329738928</v>
      </c>
      <c r="N56" s="1"/>
      <c r="O56" s="1"/>
      <c r="P56" s="1"/>
      <c r="Q56" s="1"/>
      <c r="R56" s="1"/>
      <c r="S56" s="1"/>
      <c r="T56" s="1">
        <f t="shared" si="22"/>
        <v>1.00907956033304</v>
      </c>
      <c r="U56" s="1">
        <f t="shared" si="16"/>
        <v>0.72078848134565</v>
      </c>
      <c r="V56" s="1"/>
      <c r="W56" s="1"/>
      <c r="X56" s="1">
        <f t="shared" si="17"/>
        <v>0.693155080165638</v>
      </c>
      <c r="Y56" s="1"/>
    </row>
    <row r="57" spans="1:25">
      <c r="A57" s="1">
        <v>900</v>
      </c>
      <c r="B57" s="1">
        <v>1.0294</v>
      </c>
      <c r="C57" s="1">
        <v>0.6863</v>
      </c>
      <c r="D57" s="1">
        <v>0.7768</v>
      </c>
      <c r="E57" s="6">
        <f t="shared" si="18"/>
        <v>0.66669904798912</v>
      </c>
      <c r="F57" s="6">
        <f t="shared" si="11"/>
        <v>-3.52140330046958</v>
      </c>
      <c r="G57" s="6">
        <f t="shared" si="12"/>
        <v>-48.9853681971049</v>
      </c>
      <c r="H57" s="6">
        <f t="shared" si="13"/>
        <v>0.437522410397949</v>
      </c>
      <c r="I57" s="6">
        <f t="shared" si="14"/>
        <v>-0.503052443577374</v>
      </c>
      <c r="J57" s="7">
        <f t="shared" si="19"/>
        <v>5654.86677646163</v>
      </c>
      <c r="K57" s="1">
        <f t="shared" si="20"/>
        <v>0.626505435983197</v>
      </c>
      <c r="L57" s="6">
        <f t="shared" si="15"/>
        <v>-4.06150312844007</v>
      </c>
      <c r="M57" s="8">
        <f t="shared" si="21"/>
        <v>-51.2072320462048</v>
      </c>
      <c r="N57" s="1"/>
      <c r="O57" s="1"/>
      <c r="P57" s="1"/>
      <c r="Q57" s="1"/>
      <c r="R57" s="1"/>
      <c r="S57" s="1"/>
      <c r="T57" s="1">
        <f t="shared" si="22"/>
        <v>1.24407069082156</v>
      </c>
      <c r="U57" s="1">
        <f t="shared" si="16"/>
        <v>0.656251740148111</v>
      </c>
      <c r="V57" s="1"/>
      <c r="W57" s="1"/>
      <c r="X57" s="1">
        <f t="shared" si="17"/>
        <v>0.754542015763586</v>
      </c>
      <c r="Y57" s="1"/>
    </row>
    <row r="58" spans="1:25">
      <c r="A58" s="1">
        <v>1200</v>
      </c>
      <c r="B58" s="1">
        <v>1.0155</v>
      </c>
      <c r="C58" s="1">
        <v>0.5491</v>
      </c>
      <c r="D58" s="1">
        <v>0.8533</v>
      </c>
      <c r="E58" s="6">
        <f t="shared" si="18"/>
        <v>0.540718857705564</v>
      </c>
      <c r="F58" s="6">
        <f t="shared" si="11"/>
        <v>-5.34056968062897</v>
      </c>
      <c r="G58" s="6">
        <f t="shared" si="12"/>
        <v>-57.1691162679203</v>
      </c>
      <c r="H58" s="6">
        <f t="shared" si="13"/>
        <v>0.293156793482411</v>
      </c>
      <c r="I58" s="6">
        <f t="shared" si="14"/>
        <v>-0.454352261481684</v>
      </c>
      <c r="J58" s="7">
        <f t="shared" si="19"/>
        <v>7539.8223686155</v>
      </c>
      <c r="K58" s="1">
        <f t="shared" si="20"/>
        <v>0.516295370874689</v>
      </c>
      <c r="L58" s="6">
        <f t="shared" si="15"/>
        <v>-5.74203537674647</v>
      </c>
      <c r="M58" s="8">
        <f t="shared" si="21"/>
        <v>-58.9159212545302</v>
      </c>
      <c r="N58" s="1"/>
      <c r="O58" s="1"/>
      <c r="P58" s="1"/>
      <c r="Q58" s="1"/>
      <c r="R58" s="1"/>
      <c r="S58" s="1"/>
      <c r="T58" s="1">
        <f t="shared" si="22"/>
        <v>1.65876092109541</v>
      </c>
      <c r="U58" s="1">
        <f t="shared" si="16"/>
        <v>0.542161216138023</v>
      </c>
      <c r="V58" s="1"/>
      <c r="W58" s="1"/>
      <c r="X58" s="1">
        <f t="shared" si="17"/>
        <v>0.840274488316609</v>
      </c>
      <c r="Y58" s="1"/>
    </row>
    <row r="59" spans="1:25">
      <c r="A59" s="1">
        <v>2000</v>
      </c>
      <c r="B59" s="1">
        <v>1.05</v>
      </c>
      <c r="C59" s="1">
        <v>0.3586</v>
      </c>
      <c r="D59" s="1">
        <v>0.9315</v>
      </c>
      <c r="E59" s="6">
        <f t="shared" si="18"/>
        <v>0.34152380952381</v>
      </c>
      <c r="F59" s="6">
        <f t="shared" si="11"/>
        <v>-9.33158027687547</v>
      </c>
      <c r="G59" s="6">
        <f t="shared" si="12"/>
        <v>-61.1468254682944</v>
      </c>
      <c r="H59" s="6">
        <f t="shared" si="13"/>
        <v>0.164808031746032</v>
      </c>
      <c r="I59" s="6">
        <f t="shared" si="14"/>
        <v>-0.299126771024686</v>
      </c>
      <c r="J59" s="7">
        <f t="shared" si="19"/>
        <v>12566.3706143592</v>
      </c>
      <c r="K59" s="1">
        <f t="shared" si="20"/>
        <v>0.340147434412201</v>
      </c>
      <c r="L59" s="6">
        <f t="shared" si="15"/>
        <v>-9.36665600780197</v>
      </c>
      <c r="M59" s="8">
        <f t="shared" si="21"/>
        <v>-70.1141431773284</v>
      </c>
      <c r="N59" s="1"/>
      <c r="O59" s="1"/>
      <c r="P59" s="1"/>
      <c r="Q59" s="1"/>
      <c r="R59" s="1"/>
      <c r="S59" s="1"/>
      <c r="T59" s="1">
        <f t="shared" si="22"/>
        <v>2.76460153515902</v>
      </c>
      <c r="U59" s="1">
        <f t="shared" si="16"/>
        <v>0.482566741029931</v>
      </c>
      <c r="V59" s="1"/>
      <c r="W59" s="1"/>
      <c r="X59" s="1">
        <f t="shared" si="17"/>
        <v>0.875859201271387</v>
      </c>
      <c r="Y59" s="1"/>
    </row>
    <row r="60" spans="1:25">
      <c r="A60" s="1">
        <v>3000</v>
      </c>
      <c r="B60" s="1">
        <v>0.9945</v>
      </c>
      <c r="C60" s="1">
        <v>0.2428</v>
      </c>
      <c r="D60" s="1">
        <v>0.9686</v>
      </c>
      <c r="E60" s="6">
        <f t="shared" si="18"/>
        <v>0.244142785319256</v>
      </c>
      <c r="F60" s="6">
        <f t="shared" si="11"/>
        <v>-12.2471221011447</v>
      </c>
      <c r="G60" s="6">
        <f t="shared" si="12"/>
        <v>-76.8586296422135</v>
      </c>
      <c r="H60" s="6">
        <f t="shared" si="13"/>
        <v>0.0555069625019053</v>
      </c>
      <c r="I60" s="6">
        <f t="shared" si="14"/>
        <v>-0.237749188720501</v>
      </c>
      <c r="J60" s="7">
        <f t="shared" si="19"/>
        <v>18849.5559215388</v>
      </c>
      <c r="K60" s="1">
        <f t="shared" si="20"/>
        <v>0.234424233417576</v>
      </c>
      <c r="L60" s="6">
        <f t="shared" si="15"/>
        <v>-12.599949909774</v>
      </c>
      <c r="M60" s="8">
        <f t="shared" si="21"/>
        <v>-76.4423142551625</v>
      </c>
      <c r="N60" s="1"/>
      <c r="O60" s="1"/>
      <c r="P60" s="1"/>
      <c r="Q60" s="1"/>
      <c r="R60" s="1"/>
      <c r="S60" s="1"/>
      <c r="T60" s="1">
        <f t="shared" si="22"/>
        <v>4.14690230273853</v>
      </c>
      <c r="U60" s="1">
        <f t="shared" si="16"/>
        <v>0.227354506623331</v>
      </c>
      <c r="V60" s="1"/>
      <c r="W60" s="1"/>
      <c r="X60" s="1">
        <f t="shared" si="17"/>
        <v>0.973812060059877</v>
      </c>
      <c r="Y60" s="1"/>
    </row>
    <row r="61" spans="1:25">
      <c r="A61" s="1">
        <v>4000</v>
      </c>
      <c r="B61" s="1">
        <v>0.9906</v>
      </c>
      <c r="C61" s="1">
        <v>0.1821</v>
      </c>
      <c r="D61" s="1">
        <v>0.9677</v>
      </c>
      <c r="E61" s="6">
        <f t="shared" si="18"/>
        <v>0.183827983040581</v>
      </c>
      <c r="F61" s="6">
        <f t="shared" si="11"/>
        <v>-14.7117675570304</v>
      </c>
      <c r="G61" s="6">
        <f t="shared" si="12"/>
        <v>-77.5131515102762</v>
      </c>
      <c r="H61" s="6">
        <f t="shared" si="13"/>
        <v>0.0397464614784586</v>
      </c>
      <c r="I61" s="6">
        <f t="shared" si="14"/>
        <v>-0.179479653857226</v>
      </c>
      <c r="J61" s="7">
        <f t="shared" si="19"/>
        <v>25132.7412287183</v>
      </c>
      <c r="K61" s="1">
        <f t="shared" si="20"/>
        <v>0.177970638013708</v>
      </c>
      <c r="L61" s="6">
        <f t="shared" si="15"/>
        <v>-14.9930328527516</v>
      </c>
      <c r="M61" s="8">
        <f t="shared" si="21"/>
        <v>-79.748422532667</v>
      </c>
      <c r="N61" s="1"/>
      <c r="O61" s="1"/>
      <c r="P61" s="1"/>
      <c r="Q61" s="1"/>
      <c r="R61" s="1"/>
      <c r="S61" s="1"/>
      <c r="T61" s="1">
        <f t="shared" si="22"/>
        <v>5.52920307031804</v>
      </c>
      <c r="U61" s="1">
        <f t="shared" si="16"/>
        <v>0.216215512029441</v>
      </c>
      <c r="V61" s="1"/>
      <c r="W61" s="1"/>
      <c r="X61" s="1">
        <f t="shared" si="17"/>
        <v>0.976345662333708</v>
      </c>
      <c r="Y61" s="1"/>
    </row>
    <row r="62" spans="1:25">
      <c r="A62" s="1">
        <v>5000</v>
      </c>
      <c r="B62" s="1">
        <v>0.9881</v>
      </c>
      <c r="C62" s="1">
        <v>0.1446</v>
      </c>
      <c r="D62" s="1">
        <v>0.971</v>
      </c>
      <c r="E62" s="6">
        <f t="shared" si="18"/>
        <v>0.146341463414634</v>
      </c>
      <c r="F62" s="6">
        <f t="shared" si="11"/>
        <v>-16.6926521267218</v>
      </c>
      <c r="G62" s="6">
        <f t="shared" si="12"/>
        <v>-79.0235960708155</v>
      </c>
      <c r="H62" s="6">
        <f t="shared" si="13"/>
        <v>0.0278641048597734</v>
      </c>
      <c r="I62" s="6">
        <f t="shared" si="14"/>
        <v>-0.143664245985911</v>
      </c>
      <c r="J62" s="7">
        <f t="shared" si="19"/>
        <v>31415.9265358979</v>
      </c>
      <c r="K62" s="1">
        <f t="shared" si="20"/>
        <v>0.143195241234364</v>
      </c>
      <c r="L62" s="6">
        <f t="shared" si="15"/>
        <v>-16.8814282914008</v>
      </c>
      <c r="M62" s="8">
        <f t="shared" si="21"/>
        <v>-81.7672164578298</v>
      </c>
      <c r="N62" s="1"/>
      <c r="O62" s="1"/>
      <c r="P62" s="1"/>
      <c r="Q62" s="1"/>
      <c r="R62" s="1"/>
      <c r="S62" s="1"/>
      <c r="T62" s="1">
        <f t="shared" si="22"/>
        <v>6.91150383789754</v>
      </c>
      <c r="U62" s="1">
        <f t="shared" si="16"/>
        <v>0.190404716541785</v>
      </c>
      <c r="V62" s="1"/>
      <c r="W62" s="1"/>
      <c r="X62" s="1">
        <f t="shared" si="17"/>
        <v>0.981705680903723</v>
      </c>
      <c r="Y62" s="1"/>
    </row>
    <row r="63" spans="1:25">
      <c r="A63" s="1"/>
      <c r="B63" s="1"/>
      <c r="C63" s="1" t="s">
        <v>14</v>
      </c>
      <c r="D63" s="1" t="s">
        <v>15</v>
      </c>
      <c r="E63" s="1" t="s">
        <v>16</v>
      </c>
      <c r="F63" s="1"/>
      <c r="G63" s="1"/>
      <c r="H63" s="1"/>
      <c r="I63" s="1"/>
      <c r="J63" s="7"/>
      <c r="K63" s="1"/>
      <c r="L63" s="6"/>
      <c r="M63" s="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>
      <c r="A64" s="1"/>
      <c r="B64" s="1"/>
      <c r="C64" s="1">
        <v>1000</v>
      </c>
      <c r="D64" s="1">
        <v>220</v>
      </c>
      <c r="E64" s="1">
        <v>724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" spans="1:25">
      <c r="A67" s="1"/>
      <c r="B67" s="3"/>
      <c r="C67" s="3"/>
      <c r="D67" s="3"/>
      <c r="E67" s="4"/>
      <c r="F67" s="4"/>
      <c r="G67" s="4"/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>
      <c r="U85" s="1"/>
    </row>
    <row r="86" spans="1:25">
      <c r="U86" s="1"/>
    </row>
  </sheetData>
  <mergeCells count="4">
    <mergeCell ref="A1:G1"/>
    <mergeCell ref="A20:I20"/>
    <mergeCell ref="A47:I47"/>
    <mergeCell ref="A48:G4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鎍濔生生不息</cp:lastModifiedBy>
  <dcterms:created xsi:type="dcterms:W3CDTF">2026-04-04T17:41:00Z</dcterms:created>
  <dcterms:modified xsi:type="dcterms:W3CDTF">2026-04-05T12:40:30Z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B158FF883788459589EE26324C781C4D_12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